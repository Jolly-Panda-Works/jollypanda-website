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راهنما" sheetId="1" state="visible" r:id="rId3"/>
    <sheet name="پروفایل کسب‌وکار" sheetId="2" state="visible" r:id="rId4"/>
    <sheet name="داشبورد" sheetId="3" state="visible" r:id="rId5"/>
    <sheet name="بانک اطلاعات مواد اولیه" sheetId="4" state="visible" r:id="rId6"/>
    <sheet name="دستور پخت" sheetId="5" state="visible" r:id="rId7"/>
    <sheet name="بسته‌بندی" sheetId="6" state="visible" r:id="rId8"/>
    <sheet name="هزینه‌های عملیاتی" sheetId="7" state="visible" r:id="rId9"/>
    <sheet name="قیمت‌گذاری منو" sheetId="8" state="visible" r:id="rId10"/>
    <sheet name="فروش" sheetId="9" state="visible" r:id="rId11"/>
    <sheet name="خلاصه موجودی" sheetId="10" state="visible" r:id="rId12"/>
    <sheet name="مهندسی منو" sheetId="11" state="visible" r:id="rId13"/>
    <sheet name="نشت سود" sheetId="12" state="visible" r:id="rId14"/>
    <sheet name="پیشنهادها" sheetId="13" state="visible" r:id="rId15"/>
    <sheet name="امتیاز سلامت رستوران" sheetId="14" state="visible" r:id="rId16"/>
  </sheets>
  <definedNames>
    <definedName function="false" hidden="false" name="BP_0" vbProcedure="false">'پروفایل کسب‌وکار'!$B$5</definedName>
    <definedName function="false" hidden="false" name="BP_1" vbProcedure="false">'پروفایل کسب‌وکار'!$B$6</definedName>
    <definedName function="false" hidden="false" name="BP_10" vbProcedure="false">'پروفایل کسب‌وکار'!$B$15</definedName>
    <definedName function="false" hidden="false" name="BP_11" vbProcedure="false">'پروفایل کسب‌وکار'!$B$16</definedName>
    <definedName function="false" hidden="false" name="BP_2" vbProcedure="false">'پروفایل کسب‌وکار'!$B$7</definedName>
    <definedName function="false" hidden="false" name="BP_3" vbProcedure="false">'پروفایل کسب‌وکار'!$B$8</definedName>
    <definedName function="false" hidden="false" name="BP_4" vbProcedure="false">'پروفایل کسب‌وکار'!$B$9</definedName>
    <definedName function="false" hidden="false" name="BP_5" vbProcedure="false">'پروفایل کسب‌وکار'!$B$10</definedName>
    <definedName function="false" hidden="false" name="BP_6" vbProcedure="false">'پروفایل کسب‌وکار'!$B$11</definedName>
    <definedName function="false" hidden="false" name="BP_7" vbProcedure="false">'پروفایل کسب‌وکار'!$B$12</definedName>
    <definedName function="false" hidden="false" name="BP_8" vbProcedure="false">'پروفایل کسب‌وکار'!$B$13</definedName>
    <definedName function="false" hidden="false" name="BP_9" vbProcedure="false">'پروفایل کسب‌وکار'!$B$14</definedName>
    <definedName function="false" hidden="false" name="Cost_Per_Order" vbProcedure="false">'هزینه‌های عملیاتی'!$B$24</definedName>
    <definedName function="false" hidden="false" name="Health_Level" vbProcedure="false">'امتیاز سلامت رستوران'!$D$17</definedName>
    <definedName function="false" hidden="false" name="Health_Score" vbProcedure="false">'امتیاز سلامت رستوران'!$D$16</definedName>
    <definedName function="false" hidden="false" name="Ingredients_First" vbProcedure="false">'بانک اطلاعات مواد اولیه'!$A$5</definedName>
    <definedName function="false" hidden="false" name="Ingredients_Last" vbProcedure="false">'بانک اطلاعات مواد اولیه'!$A$16</definedName>
    <definedName function="false" hidden="false" name="Menu_First" vbProcedure="false">'قیمت‌گذاری منو'!$A$5</definedName>
    <definedName function="false" hidden="false" name="Menu_Last" vbProcedure="false">'قیمت‌گذاری منو'!$A$10</definedName>
    <definedName function="false" hidden="false" name="Monthly_Overhead" vbProcedure="false">'هزینه‌های عملیاتی'!$B$20</definedName>
    <definedName function="false" hidden="false" name="Overhead_Per_Item" vbProcedure="false">'هزینه‌های عملیاتی'!$B$26</definedName>
    <definedName function="false" hidden="false" name="Recipe_Summary_First" vbProcedure="false">'دستور پخت'!$A$29</definedName>
    <definedName function="false" hidden="false" name="Recipe_Summary_Last" vbProcedure="false">'دستور پخت'!$A$34</definedName>
    <definedName function="false" hidden="false" name="Sales_First" vbProcedure="false">فروش!$A$5</definedName>
    <definedName function="false" hidden="false" name="Sales_Last" vbProcedure="false">فروش!$A$124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14" authorId="0">
      <text>
        <r>
          <rPr>
            <sz val="10"/>
            <rFont val="FreeSans"/>
            <family val="2"/>
          </rPr>
          <t xml:space="preserve">جدول کمکی برای نمودارهای زیر — حذف نکنید</t>
        </r>
        <r>
          <rPr>
            <sz val="10"/>
            <rFont val="Arial"/>
            <family val="2"/>
          </rPr>
          <t xml:space="preserve">.</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26" authorId="0">
      <text>
        <r>
          <rPr>
            <sz val="10"/>
            <rFont val="FreeSans"/>
            <family val="2"/>
          </rPr>
          <t xml:space="preserve">سربار بین آیتم‌های یک سفارش معمولی تقسیم می‌شود (هزینه هر سفارش ÷ میانگین تعداد آیتم در هر سفارش)، نه اینکه به‌طور کامل روی هر آیتم منفرد اعمال شود. برای تطبیق با ترکیب سفارش‌های خود، «میانگین تعداد آیتم در هر سفارش» را در پروفایل کسب‌وکار تنظیم کنید</t>
        </r>
        <r>
          <rPr>
            <sz val="10"/>
            <rFont val="Arial"/>
            <family val="2"/>
          </rPr>
          <t xml:space="preserve">.</t>
        </r>
      </text>
    </comment>
  </commentList>
</comments>
</file>

<file path=xl/sharedStrings.xml><?xml version="1.0" encoding="utf-8"?>
<sst xmlns="http://schemas.openxmlformats.org/spreadsheetml/2006/main" count="514" uniqueCount="244">
  <si>
    <t xml:space="preserve">مدیر مالی رستوران</t>
  </si>
  <si>
    <t xml:space="preserve">یک ابزار هوش مالی برای رستوران‌ها — نه فقط یک ماشین‌حساب.</t>
  </si>
  <si>
    <t xml:space="preserve">این فایل چه کاری انجام می‌دهد</t>
  </si>
  <si>
    <t xml:space="preserve">هدف</t>
  </si>
  <si>
    <t xml:space="preserve">اعداد خام رستوران شما (مواد اولیه، دستور پخت، هزینه‌ها، فروش) را به تصمیمات قیمت‌گذاری، یک امتیاز سودآوری و فهرستی از اقدامات اولویت‌بندی‌شده تبدیل می‌کند.</t>
  </si>
  <si>
    <t xml:space="preserve">راهنمای رنگ‌ها</t>
  </si>
  <si>
    <t xml:space="preserve">متن آبی / زمینه زرد</t>
  </si>
  <si>
    <r>
      <rPr>
        <sz val="11"/>
        <color theme="1"/>
        <rFont val="FreeSans"/>
        <family val="2"/>
      </rPr>
      <t xml:space="preserve">سلول‌هایی که باید ویرایش کنید — داده‌های خودتان اینجا وارد می‌شود</t>
    </r>
    <r>
      <rPr>
        <sz val="11"/>
        <color theme="1"/>
        <rFont val="Calibri"/>
        <family val="2"/>
        <charset val="1"/>
      </rPr>
      <t xml:space="preserve">.</t>
    </r>
  </si>
  <si>
    <t xml:space="preserve">متن مشکی</t>
  </si>
  <si>
    <r>
      <rPr>
        <sz val="11"/>
        <color theme="1"/>
        <rFont val="FreeSans"/>
        <family val="2"/>
      </rPr>
      <t xml:space="preserve">فرمول‌ها — آن‌ها را بازنویسی نکنید، به‌طور خودکار محاسبه می‌شوند</t>
    </r>
    <r>
      <rPr>
        <sz val="11"/>
        <color theme="1"/>
        <rFont val="Calibri"/>
        <family val="2"/>
        <charset val="1"/>
      </rPr>
      <t xml:space="preserve">.</t>
    </r>
  </si>
  <si>
    <t xml:space="preserve">متن سبز</t>
  </si>
  <si>
    <r>
      <rPr>
        <sz val="11"/>
        <color theme="1"/>
        <rFont val="FreeSans"/>
        <family val="2"/>
      </rPr>
      <t xml:space="preserve">مقادیری که به‌طور خودکار از شیت دیگری آورده شده‌اند</t>
    </r>
    <r>
      <rPr>
        <sz val="11"/>
        <color theme="1"/>
        <rFont val="Calibri"/>
        <family val="2"/>
        <charset val="1"/>
      </rPr>
      <t xml:space="preserve">.</t>
    </r>
  </si>
  <si>
    <t xml:space="preserve">روند کار (به همین ترتیب انجام دهید)</t>
  </si>
  <si>
    <t xml:space="preserve">۱. پروفایل کسب‌وکار — واحد پول، مالیات بر ارزش افزوده، اهداف و روزهای کاری را تنظیم کنید.</t>
  </si>
  <si>
    <t xml:space="preserve">۲. بانک اطلاعات مواد اولیه — هر ماده اولیه و قیمت خریدش را وارد کنید.</t>
  </si>
  <si>
    <t xml:space="preserve">۳. دستور پخت — دستور پخت هر آیتم منو را از همان مواد اولیه بسازید.</t>
  </si>
  <si>
    <t xml:space="preserve">۴. بسته‌بندی — هزینه بسته‌بندی هر آیتم منو را اضافه کنید.</t>
  </si>
  <si>
    <t xml:space="preserve">۵. هزینه‌های عملیاتی — هزینه‌های ثابت ماهانه (اجاره، حقوق و غیره) را وارد کنید.</t>
  </si>
  <si>
    <t xml:space="preserve">۶. قیمت‌گذاری منو — قیمت فروش را تعیین کنید؛ حاشیه سود و وضعیت محاسبه‌شده را بررسی کنید.</t>
  </si>
  <si>
    <t xml:space="preserve">۷. فروش — فروش روزانه هر آیتم را ثبت کنید (یا از خروجی صندوق فروش کپی کنید).</t>
  </si>
  <si>
    <t xml:space="preserve">۸. بقیه شیت‌ها (داشبورد، امتیاز سلامت، مهندسی منو، نشت سود،</t>
  </si>
  <si>
    <t xml:space="preserve">   پیشنهادها) به‌طور خودکار محاسبه می‌شوند — چیز دیگری برای وارد کردن نیست.</t>
  </si>
  <si>
    <t xml:space="preserve">دوره پیشنهادی به‌روزرسانی</t>
  </si>
  <si>
    <t xml:space="preserve">فروش</t>
  </si>
  <si>
    <t xml:space="preserve">روزانه یا هفتگی (از صندوق فروش کپی کنید)</t>
  </si>
  <si>
    <t xml:space="preserve">مواد اولیه / قیمت خرید</t>
  </si>
  <si>
    <t xml:space="preserve">هر زمان که قیمت تأمین‌کننده تغییر کند</t>
  </si>
  <si>
    <t xml:space="preserve">دستور پخت</t>
  </si>
  <si>
    <t xml:space="preserve">هر زمان که یک دستور پخت تغییر کند</t>
  </si>
  <si>
    <t xml:space="preserve">هزینه‌های عملیاتی</t>
  </si>
  <si>
    <t xml:space="preserve">ماهانه</t>
  </si>
  <si>
    <t xml:space="preserve">بازبینی قیمت‌گذاری منو</t>
  </si>
  <si>
    <t xml:space="preserve">ماهانه — ستون وضعیت سود را بررسی کنید</t>
  </si>
  <si>
    <t xml:space="preserve">در این نسخه گنجانده شده</t>
  </si>
  <si>
    <t xml:space="preserve">پروفایل کسب‌وکار، بانک اطلاعات مواد اولیه، دستور پخت، بسته‌بندی، هزینه‌های عملیاتی،</t>
  </si>
  <si>
    <t xml:space="preserve">قیمت‌گذاری منو، فروش، خلاصه موجودی، داشبورد، امتیاز سلامت رستوران،</t>
  </si>
  <si>
    <t xml:space="preserve">مهندسی منو، نشت سود و پیشنهادها.</t>
  </si>
  <si>
    <t xml:space="preserve">هنوز ساخته نشده (در صورت درخواست اضافه می‌شود)</t>
  </si>
  <si>
    <t xml:space="preserve">شبیه‌ساز سناریو، امتیاز فرصت، و گزارش مدیریتی قابل چاپ.</t>
  </si>
  <si>
    <t xml:space="preserve">نکاتی درباره فرمول‌ها</t>
  </si>
  <si>
    <t xml:space="preserve">این فایل به‌جای XLOOKUP/FILTER/SORT از INDEX/MATCH و SUMIFS استفاده می‌کند، تا هر فرمول در هر نسخه‌ای از اکسل یا LibreOffice به‌درستی محاسبه شود.</t>
  </si>
  <si>
    <t xml:space="preserve">پروفایل کسب‌وکار</t>
  </si>
  <si>
    <t xml:space="preserve">تنظیمات اصلی مورد استفاده در کل فایل.</t>
  </si>
  <si>
    <t xml:space="preserve">فیلد</t>
  </si>
  <si>
    <t xml:space="preserve">مقدار</t>
  </si>
  <si>
    <t xml:space="preserve">نام کسب‌وکار</t>
  </si>
  <si>
    <t xml:space="preserve">رستوران پیتزا بلاویستا</t>
  </si>
  <si>
    <t xml:space="preserve">واحد پول</t>
  </si>
  <si>
    <t xml:space="preserve">USD</t>
  </si>
  <si>
    <t xml:space="preserve">درصد مالیات بر ارزش افزوده</t>
  </si>
  <si>
    <t xml:space="preserve">روزهای کاری در ماه</t>
  </si>
  <si>
    <t xml:space="preserve">هدف درصد هزینه غذا</t>
  </si>
  <si>
    <t xml:space="preserve">هدف حاشیه سود ناخالص</t>
  </si>
  <si>
    <t xml:space="preserve">هدف حاشیه سود خالص</t>
  </si>
  <si>
    <t xml:space="preserve">هدف سود ماهانه</t>
  </si>
  <si>
    <t xml:space="preserve">درآمد ماهانه مورد انتظار</t>
  </si>
  <si>
    <t xml:space="preserve">میانگین سفارش روزانه</t>
  </si>
  <si>
    <t xml:space="preserve">میانگین تعداد آیتم در هر سفارش</t>
  </si>
  <si>
    <t xml:space="preserve">میانگین ارزش هر سفارش (محاسبه‌شده)</t>
  </si>
  <si>
    <t xml:space="preserve">داشبورد مدیریتی</t>
  </si>
  <si>
    <t xml:space="preserve">مدیر مالی رستوران — نمای زنده وضعیت</t>
  </si>
  <si>
    <t xml:space="preserve">درآمد کل (دوره)</t>
  </si>
  <si>
    <t xml:space="preserve">سود ناخالص کل (دوره)</t>
  </si>
  <si>
    <t xml:space="preserve">سود خالص کل (دوره)</t>
  </si>
  <si>
    <t xml:space="preserve">میانگین درصد هزینه غذا</t>
  </si>
  <si>
    <t xml:space="preserve">میانگین درصد حاشیه سود خالص</t>
  </si>
  <si>
    <t xml:space="preserve">میانگین سود هر فروش</t>
  </si>
  <si>
    <t xml:space="preserve">سود تخمینی ماهانه</t>
  </si>
  <si>
    <t xml:space="preserve">امتیاز سلامت رستوران</t>
  </si>
  <si>
    <t xml:space="preserve">آیتم منو</t>
  </si>
  <si>
    <t xml:space="preserve">درآمد</t>
  </si>
  <si>
    <t xml:space="preserve">سود خالص</t>
  </si>
  <si>
    <t xml:space="preserve">تعداد فروش</t>
  </si>
  <si>
    <t xml:space="preserve">بانک اطلاعات مواد اولیه</t>
  </si>
  <si>
    <t xml:space="preserve">هر ماده اولیه خام، با هزینه قابل استفاده به ازای هر گرم / عدد / لیتر.</t>
  </si>
  <si>
    <t xml:space="preserve">ماده اولیه</t>
  </si>
  <si>
    <t xml:space="preserve">دسته‌بندی</t>
  </si>
  <si>
    <t xml:space="preserve">تأمین‌کننده</t>
  </si>
  <si>
    <t xml:space="preserve">واحد خرید</t>
  </si>
  <si>
    <t xml:space="preserve">اندازه بسته</t>
  </si>
  <si>
    <t xml:space="preserve">قیمت خرید</t>
  </si>
  <si>
    <t xml:space="preserve">درصد ضایعات</t>
  </si>
  <si>
    <t xml:space="preserve">درصد بازده</t>
  </si>
  <si>
    <t xml:space="preserve">موجودی فعلی</t>
  </si>
  <si>
    <t xml:space="preserve">حداقل موجودی</t>
  </si>
  <si>
    <t xml:space="preserve">هزینه واقعی واحد</t>
  </si>
  <si>
    <t xml:space="preserve">هزینه هر گرم</t>
  </si>
  <si>
    <t xml:space="preserve">هزینه هر عدد</t>
  </si>
  <si>
    <t xml:space="preserve">هزینه هر لیتر</t>
  </si>
  <si>
    <t xml:space="preserve">تاریخ آخرین خرید</t>
  </si>
  <si>
    <t xml:space="preserve">یادداشت</t>
  </si>
  <si>
    <t xml:space="preserve">آرد (۰۰)</t>
  </si>
  <si>
    <t xml:space="preserve">خشکبار</t>
  </si>
  <si>
    <t xml:space="preserve">غذایی میلان</t>
  </si>
  <si>
    <t xml:space="preserve">kg</t>
  </si>
  <si>
    <t xml:space="preserve">موزارلا</t>
  </si>
  <si>
    <t xml:space="preserve">لبنیات</t>
  </si>
  <si>
    <t xml:space="preserve">لبنیات مستقیم</t>
  </si>
  <si>
    <t xml:space="preserve">سس گوجه‌فرنگی</t>
  </si>
  <si>
    <t xml:space="preserve">سبزیجات و میوه</t>
  </si>
  <si>
    <t xml:space="preserve">l</t>
  </si>
  <si>
    <t xml:space="preserve">پپرونی</t>
  </si>
  <si>
    <t xml:space="preserve">گوشت</t>
  </si>
  <si>
    <t xml:space="preserve">شرکت گوشت پرایم</t>
  </si>
  <si>
    <t xml:space="preserve">روغن زیتون</t>
  </si>
  <si>
    <t xml:space="preserve">ریحان تازه</t>
  </si>
  <si>
    <t xml:space="preserve">مزارع سبز</t>
  </si>
  <si>
    <t xml:space="preserve">مخمر</t>
  </si>
  <si>
    <t xml:space="preserve">سینه مرغ</t>
  </si>
  <si>
    <t xml:space="preserve">کاهو</t>
  </si>
  <si>
    <t xml:space="preserve">نان برگر</t>
  </si>
  <si>
    <t xml:space="preserve">نانوایی</t>
  </si>
  <si>
    <t xml:space="preserve">نانوایی شهر</t>
  </si>
  <si>
    <t xml:space="preserve">piece</t>
  </si>
  <si>
    <t xml:space="preserve">پارمزان</t>
  </si>
  <si>
    <t xml:space="preserve">پودر چای یخ</t>
  </si>
  <si>
    <t xml:space="preserve">نوشیدنی</t>
  </si>
  <si>
    <t xml:space="preserve">تأمین نوشیدنی</t>
  </si>
  <si>
    <t xml:space="preserve">دستور پخت‌ها خط به خط. هزینه مواد اولیه به‌طور خودکار از بانک اطلاعات مواد اولیه گرفته می‌شود.</t>
  </si>
  <si>
    <t xml:space="preserve">نام دستور پخت</t>
  </si>
  <si>
    <t xml:space="preserve">واحد</t>
  </si>
  <si>
    <t xml:space="preserve">هزینه ماده اولیه</t>
  </si>
  <si>
    <t xml:space="preserve">وزن پرس (گرم)</t>
  </si>
  <si>
    <t xml:space="preserve">یادداشت دستور پخت</t>
  </si>
  <si>
    <t xml:space="preserve">پیتزا مارگاریتا</t>
  </si>
  <si>
    <t xml:space="preserve">پیتزا</t>
  </si>
  <si>
    <t xml:space="preserve">g</t>
  </si>
  <si>
    <t xml:space="preserve">پخت با کوره هیزمی، ۲۵۰ درجه</t>
  </si>
  <si>
    <t xml:space="preserve">پیتزا پپرونی</t>
  </si>
  <si>
    <t xml:space="preserve">ترد و کرانچی اضافه</t>
  </si>
  <si>
    <t xml:space="preserve">سالاد سزار</t>
  </si>
  <si>
    <t xml:space="preserve">سالاد</t>
  </si>
  <si>
    <t xml:space="preserve">پایه سس</t>
  </si>
  <si>
    <t xml:space="preserve">برگر مرغ</t>
  </si>
  <si>
    <t xml:space="preserve">برگر</t>
  </si>
  <si>
    <t xml:space="preserve">نان سیر</t>
  </si>
  <si>
    <t xml:space="preserve">پیش‌غذا</t>
  </si>
  <si>
    <t xml:space="preserve">چای یخ</t>
  </si>
  <si>
    <t xml:space="preserve">روی یخ سرو می‌شود</t>
  </si>
  <si>
    <t xml:space="preserve">خلاصه هزینه دستور پخت</t>
  </si>
  <si>
    <t xml:space="preserve">هزینه کل دستور پخت</t>
  </si>
  <si>
    <t xml:space="preserve">وزن کل پرس (گرم)</t>
  </si>
  <si>
    <t xml:space="preserve">اندازه سرو</t>
  </si>
  <si>
    <t xml:space="preserve">۱ پیتزا (۳۰ سانتی‌متر)</t>
  </si>
  <si>
    <t xml:space="preserve">۱ کاسه</t>
  </si>
  <si>
    <t xml:space="preserve">۱ برگر</t>
  </si>
  <si>
    <t xml:space="preserve">۱ پرس (۴ تکه)</t>
  </si>
  <si>
    <t xml:space="preserve">۱ لیوان (۴۰۰ میلی‌لیتر)</t>
  </si>
  <si>
    <t xml:space="preserve">بسته‌بندی</t>
  </si>
  <si>
    <t xml:space="preserve">هزینه بسته‌بندی هر آیتم منو، متصل به قیمت‌گذاری منو.</t>
  </si>
  <si>
    <t xml:space="preserve">ظرف</t>
  </si>
  <si>
    <t xml:space="preserve">جعبه</t>
  </si>
  <si>
    <t xml:space="preserve">کیسه</t>
  </si>
  <si>
    <t xml:space="preserve">دستمال/قاشق‌چنگال</t>
  </si>
  <si>
    <t xml:space="preserve">ظرف سس</t>
  </si>
  <si>
    <t xml:space="preserve">برچسب</t>
  </si>
  <si>
    <t xml:space="preserve">بسته‌بندی ارسال</t>
  </si>
  <si>
    <t xml:space="preserve">هزینه کل بسته‌بندی</t>
  </si>
  <si>
    <t xml:space="preserve">هزینه‌های ثابت ماهانه، تسهیم‌شده تا رسیدن به رقم هزینه هر سفارش.</t>
  </si>
  <si>
    <t xml:space="preserve">دسته هزینه</t>
  </si>
  <si>
    <t xml:space="preserve">مبلغ ماهانه</t>
  </si>
  <si>
    <t xml:space="preserve">اجاره</t>
  </si>
  <si>
    <t xml:space="preserve">برق</t>
  </si>
  <si>
    <t xml:space="preserve">گاز</t>
  </si>
  <si>
    <t xml:space="preserve">آب</t>
  </si>
  <si>
    <t xml:space="preserve">اینترنت</t>
  </si>
  <si>
    <t xml:space="preserve">بیمه</t>
  </si>
  <si>
    <t xml:space="preserve">نظافت</t>
  </si>
  <si>
    <t xml:space="preserve">بازاریابی</t>
  </si>
  <si>
    <t xml:space="preserve">نرم‌افزار / صندوق فروش</t>
  </si>
  <si>
    <t xml:space="preserve">تجهیزات (اجاره/نگهداری)</t>
  </si>
  <si>
    <t xml:space="preserve">حقوق کارکنان</t>
  </si>
  <si>
    <t xml:space="preserve">مالیات (غیر از ارزش افزوده)</t>
  </si>
  <si>
    <t xml:space="preserve">کارمزد پلتفرم ارسال</t>
  </si>
  <si>
    <t xml:space="preserve">متفرقه</t>
  </si>
  <si>
    <t xml:space="preserve">هزینه سربار ماهانه</t>
  </si>
  <si>
    <t xml:space="preserve">روزهای کاری در ماه (از پروفایل کسب‌وکار)</t>
  </si>
  <si>
    <t xml:space="preserve">هزینه سربار روزانه</t>
  </si>
  <si>
    <t xml:space="preserve">میانگین سفارش روزانه (از پروفایل کسب‌وکار)</t>
  </si>
  <si>
    <t xml:space="preserve">هزینه هر سفارش</t>
  </si>
  <si>
    <t xml:space="preserve">میانگین تعداد آیتم در هر سفارش (از پروفایل کسب‌وکار)</t>
  </si>
  <si>
    <t xml:space="preserve">سربار تسهیم‌شده به هر آیتم منو</t>
  </si>
  <si>
    <t xml:space="preserve">قیمت‌گذاری منو</t>
  </si>
  <si>
    <t xml:space="preserve">موتور مالی: تمام هزینه‌ها، حاشیه سود و پیشنهاد قیمت برای هر آیتم منو.</t>
  </si>
  <si>
    <t xml:space="preserve">هزینه دستور پخت</t>
  </si>
  <si>
    <t xml:space="preserve">هزینه بسته‌بندی</t>
  </si>
  <si>
    <t xml:space="preserve">هزینه نیروی کار</t>
  </si>
  <si>
    <t xml:space="preserve">سربار تسهیم‌شده</t>
  </si>
  <si>
    <t xml:space="preserve">کارمزد ارسال</t>
  </si>
  <si>
    <t xml:space="preserve">مالیات بر ارزش افزوده</t>
  </si>
  <si>
    <t xml:space="preserve">هزینه کل</t>
  </si>
  <si>
    <t xml:space="preserve">قیمت فروش</t>
  </si>
  <si>
    <t xml:space="preserve">سود ناخالص</t>
  </si>
  <si>
    <t xml:space="preserve">درصد حاشیه سود ناخالص</t>
  </si>
  <si>
    <t xml:space="preserve">درصد حاشیه سود خالص</t>
  </si>
  <si>
    <t xml:space="preserve">درصد هزینه غذا</t>
  </si>
  <si>
    <t xml:space="preserve">درصد نشانه‌گذاری قیمت</t>
  </si>
  <si>
    <t xml:space="preserve">قیمت سربه‌سر</t>
  </si>
  <si>
    <t xml:space="preserve">قیمت پیشنهادی</t>
  </si>
  <si>
    <t xml:space="preserve">قیمت هدف</t>
  </si>
  <si>
    <t xml:space="preserve">فاصله قیمتی</t>
  </si>
  <si>
    <t xml:space="preserve">وضعیت سود</t>
  </si>
  <si>
    <t xml:space="preserve">ثبت روزانه فروش. از خروجی صندوق فروش کپی کنید — درآمد و سود به‌طور خودکار محاسبه می‌شوند.</t>
  </si>
  <si>
    <t xml:space="preserve">تاریخ</t>
  </si>
  <si>
    <t xml:space="preserve">تعداد</t>
  </si>
  <si>
    <t xml:space="preserve">خلاصه موجودی</t>
  </si>
  <si>
    <t xml:space="preserve">وضعیت موجودی و هشدارهای سفارش مجدد، برگرفته از بانک اطلاعات مواد اولیه.</t>
  </si>
  <si>
    <t xml:space="preserve">نیاز به سفارش مجدد</t>
  </si>
  <si>
    <t xml:space="preserve">ارزش تخمینی موجودی</t>
  </si>
  <si>
    <t xml:space="preserve">مهندسی منو</t>
  </si>
  <si>
    <t xml:space="preserve">ماتریس کلاسیک ستاره / اسب زحمتکش / پازل / سگ، بر اساس حجم فروش و حاشیه سود واقعی.</t>
  </si>
  <si>
    <t xml:space="preserve">تعداد فروش (دوره)</t>
  </si>
  <si>
    <t xml:space="preserve">میانگین تعداد فروش</t>
  </si>
  <si>
    <t xml:space="preserve">میانگین درصد حاشیه سود ناخالص</t>
  </si>
  <si>
    <t xml:space="preserve">طبقه‌بندی</t>
  </si>
  <si>
    <t xml:space="preserve">پیشنهاد</t>
  </si>
  <si>
    <t xml:space="preserve">نشت سود</t>
  </si>
  <si>
    <t xml:space="preserve">جایی که پول واقعاً از دست می‌رود، آیتم به آیتم، به دلار در ماه.</t>
  </si>
  <si>
    <t xml:space="preserve">نوع نشت</t>
  </si>
  <si>
    <t xml:space="preserve">جزئیات</t>
  </si>
  <si>
    <t xml:space="preserve">فاصله به ازای هر واحد</t>
  </si>
  <si>
    <t xml:space="preserve">تعداد فروش ماهانه (پیش‌بینی)</t>
  </si>
  <si>
    <t xml:space="preserve">زیان تخمینی ماهانه</t>
  </si>
  <si>
    <t xml:space="preserve">مجموع تخمینی نشت سود ماهانه</t>
  </si>
  <si>
    <t xml:space="preserve">پیشنهادها</t>
  </si>
  <si>
    <t xml:space="preserve">اقدامات اولویت‌بندی‌شده و تولیدشده به‌طور خودکار بر اساس بقیه فایل.</t>
  </si>
  <si>
    <t xml:space="preserve">اولویت</t>
  </si>
  <si>
    <t xml:space="preserve">تأثیر تخمینی</t>
  </si>
  <si>
    <t xml:space="preserve">یک امتیاز واحد بین ۰ تا ۱۰۰ که ده عامل وزن‌دار سودآوری را ترکیب می‌کند.</t>
  </si>
  <si>
    <t xml:space="preserve">عامل</t>
  </si>
  <si>
    <t xml:space="preserve">وزن</t>
  </si>
  <si>
    <t xml:space="preserve">شاخص خام</t>
  </si>
  <si>
    <t xml:space="preserve">امتیاز (۰ تا ۱۰۰)</t>
  </si>
  <si>
    <t xml:space="preserve">امتیاز وزن‌دار</t>
  </si>
  <si>
    <t xml:space="preserve">هزینه غذا</t>
  </si>
  <si>
    <t xml:space="preserve">حاشیه سود خالص</t>
  </si>
  <si>
    <t xml:space="preserve">حاشیه سود ناخالص</t>
  </si>
  <si>
    <t xml:space="preserve">نسبت هزینه بسته‌بندی</t>
  </si>
  <si>
    <t xml:space="preserve">نسبت سربار</t>
  </si>
  <si>
    <t xml:space="preserve">سودآوری (آیتم‌های غیرزیان‌ده)</t>
  </si>
  <si>
    <t xml:space="preserve">دقت قیمت‌گذاری (در حد یا بالاتر از پیشنهادی)</t>
  </si>
  <si>
    <t xml:space="preserve">سلامت موجودی (موجودی بالای حداقل)</t>
  </si>
  <si>
    <t xml:space="preserve">سهم آیتم‌های کم‌ریسک (عالی/سالم)</t>
  </si>
  <si>
    <t xml:space="preserve">سطح عملکرد</t>
  </si>
</sst>
</file>

<file path=xl/styles.xml><?xml version="1.0" encoding="utf-8"?>
<styleSheet xmlns="http://schemas.openxmlformats.org/spreadsheetml/2006/main">
  <numFmts count="9">
    <numFmt numFmtId="164" formatCode="General"/>
    <numFmt numFmtId="165" formatCode="0.0%"/>
    <numFmt numFmtId="166" formatCode="0"/>
    <numFmt numFmtId="167" formatCode="\$#,##0"/>
    <numFmt numFmtId="168" formatCode="0.0"/>
    <numFmt numFmtId="169" formatCode="\$#,##0.00"/>
    <numFmt numFmtId="170" formatCode="\$#,##0.0000"/>
    <numFmt numFmtId="171" formatCode="yyyy\-mm\-dd"/>
    <numFmt numFmtId="172" formatCode="0%"/>
  </numFmts>
  <fonts count="25">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1"/>
      <color rgb="FF595959"/>
      <name val="Arial"/>
      <family val="0"/>
      <charset val="1"/>
    </font>
    <font>
      <b val="true"/>
      <sz val="12"/>
      <color rgb="FF1F3864"/>
      <name val="Arial"/>
      <family val="0"/>
      <charset val="1"/>
    </font>
    <font>
      <b val="true"/>
      <sz val="10"/>
      <name val="Arial"/>
      <family val="0"/>
      <charset val="1"/>
    </font>
    <font>
      <sz val="10"/>
      <name val="Arial"/>
      <family val="0"/>
      <charset val="1"/>
    </font>
    <font>
      <sz val="10"/>
      <color rgb="FF1F4E9C"/>
      <name val="Arial"/>
      <family val="0"/>
      <charset val="1"/>
    </font>
    <font>
      <sz val="11"/>
      <color theme="1"/>
      <name val="FreeSans"/>
      <family val="2"/>
    </font>
    <font>
      <sz val="10"/>
      <color rgb="FF1E7A34"/>
      <name val="Arial"/>
      <family val="0"/>
      <charset val="1"/>
    </font>
    <font>
      <b val="true"/>
      <sz val="11"/>
      <color rgb="FFFFFFFF"/>
      <name val="Arial"/>
      <family val="0"/>
      <charset val="1"/>
    </font>
    <font>
      <sz val="10"/>
      <color rgb="FF000000"/>
      <name val="Arial"/>
      <family val="0"/>
      <charset val="1"/>
    </font>
    <font>
      <b val="true"/>
      <sz val="9"/>
      <color rgb="FF595959"/>
      <name val="Arial"/>
      <family val="0"/>
      <charset val="1"/>
    </font>
    <font>
      <b val="true"/>
      <sz val="16"/>
      <color rgb="FF1F3864"/>
      <name val="Arial"/>
      <family val="0"/>
      <charset val="1"/>
    </font>
    <font>
      <b val="true"/>
      <sz val="10"/>
      <color rgb="FF1F3864"/>
      <name val="Arial"/>
      <family val="0"/>
      <charset val="1"/>
    </font>
    <font>
      <sz val="10"/>
      <name val="FreeSans"/>
      <family val="2"/>
    </font>
    <font>
      <sz val="10"/>
      <name val="Arial"/>
      <family val="2"/>
    </font>
    <font>
      <b val="true"/>
      <sz val="18"/>
      <color rgb="FF000000"/>
      <name val="FreeSans"/>
      <family val="2"/>
    </font>
    <font>
      <sz val="10"/>
      <color rgb="FF000000"/>
      <name val="Calibri"/>
      <family val="2"/>
    </font>
    <font>
      <b val="true"/>
      <sz val="10"/>
      <color rgb="FF000000"/>
      <name val="FreeSans"/>
      <family val="2"/>
    </font>
    <font>
      <b val="true"/>
      <sz val="11"/>
      <color rgb="FFB00020"/>
      <name val="Arial"/>
      <family val="0"/>
      <charset val="1"/>
    </font>
    <font>
      <b val="true"/>
      <sz val="13"/>
      <color rgb="FF1F3864"/>
      <name val="Arial"/>
      <family val="0"/>
      <charset val="1"/>
    </font>
    <font>
      <b val="true"/>
      <sz val="11"/>
      <name val="Arial"/>
      <family val="0"/>
      <charset val="1"/>
    </font>
  </fonts>
  <fills count="5">
    <fill>
      <patternFill patternType="none"/>
    </fill>
    <fill>
      <patternFill patternType="gray125"/>
    </fill>
    <fill>
      <patternFill patternType="solid">
        <fgColor rgb="FF1F3864"/>
        <bgColor rgb="FF1F4E78"/>
      </patternFill>
    </fill>
    <fill>
      <patternFill patternType="solid">
        <fgColor rgb="FFFFF9DB"/>
        <bgColor rgb="FFF9F9F9"/>
      </patternFill>
    </fill>
    <fill>
      <patternFill patternType="solid">
        <fgColor rgb="FFF2F2F2"/>
        <bgColor rgb="FFF9F9F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7" fontId="9" fillId="3" borderId="0" xfId="0" applyFont="true" applyBorder="false" applyAlignment="false" applyProtection="false">
      <alignment horizontal="general" vertical="bottom" textRotation="0" wrapText="false" indent="0" shrinkToFit="false"/>
      <protection locked="true" hidden="false"/>
    </xf>
    <xf numFmtId="168" fontId="9" fillId="3"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true" applyAlignment="true" applyProtection="false">
      <alignment horizontal="center" vertical="bottom" textRotation="0" wrapText="false" indent="0" shrinkToFit="false"/>
      <protection locked="true" hidden="false"/>
    </xf>
    <xf numFmtId="167" fontId="15" fillId="4" borderId="0" xfId="0" applyFont="true" applyBorder="true" applyAlignment="true" applyProtection="false">
      <alignment horizontal="center" vertical="center" textRotation="0" wrapText="false" indent="0" shrinkToFit="false"/>
      <protection locked="true" hidden="false"/>
    </xf>
    <xf numFmtId="165" fontId="15" fillId="4" borderId="0" xfId="0" applyFont="true" applyBorder="true" applyAlignment="true" applyProtection="false">
      <alignment horizontal="center" vertical="center" textRotation="0" wrapText="false" indent="0" shrinkToFit="false"/>
      <protection locked="true" hidden="false"/>
    </xf>
    <xf numFmtId="169" fontId="15" fillId="4" borderId="0" xfId="0" applyFont="true" applyBorder="true" applyAlignment="true" applyProtection="false">
      <alignment horizontal="center" vertical="center" textRotation="0" wrapText="false" indent="0" shrinkToFit="false"/>
      <protection locked="true" hidden="false"/>
    </xf>
    <xf numFmtId="168" fontId="15" fillId="4" borderId="0"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71" fontId="9" fillId="3"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7" fontId="22" fillId="0" borderId="0" xfId="0" applyFont="true" applyBorder="fals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8"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b val="1"/>
        <color rgb="FF9C6500"/>
      </font>
      <fill>
        <patternFill>
          <bgColor rgb="FFFFEB9C"/>
        </patternFill>
      </fill>
    </dxf>
    <dxf>
      <font>
        <b val="1"/>
        <color rgb="FF974706"/>
      </font>
      <fill>
        <patternFill>
          <bgColor rgb="FFFCE4D6"/>
        </patternFill>
      </fill>
    </dxf>
    <dxf>
      <font>
        <b val="1"/>
        <color rgb="FF9C0006"/>
      </font>
      <fill>
        <patternFill>
          <bgColor rgb="FFFFC7CE"/>
        </patternFill>
      </fill>
    </dxf>
    <dxf>
      <font>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1E7A34"/>
      <rgbColor rgb="FFBFBFBF"/>
      <rgbColor rgb="FF878787"/>
      <rgbColor rgb="FF9999FF"/>
      <rgbColor rgb="FFC0504D"/>
      <rgbColor rgb="FFFFF9DB"/>
      <rgbColor rgb="FFDDEBF7"/>
      <rgbColor rgb="FF660066"/>
      <rgbColor rgb="FFFF8080"/>
      <rgbColor rgb="FF0066CC"/>
      <rgbColor rgb="FFD9D9D9"/>
      <rgbColor rgb="FF000080"/>
      <rgbColor rgb="FFFF00FF"/>
      <rgbColor rgb="FFFFFF00"/>
      <rgbColor rgb="FF00FFFF"/>
      <rgbColor rgb="FF800080"/>
      <rgbColor rgb="FFB00020"/>
      <rgbColor rgb="FF008080"/>
      <rgbColor rgb="FF0000FF"/>
      <rgbColor rgb="FF00CCFF"/>
      <rgbColor rgb="FFF2F2F2"/>
      <rgbColor rgb="FFC6EFCE"/>
      <rgbColor rgb="FFFFEB9C"/>
      <rgbColor rgb="FFF9F9F9"/>
      <rgbColor rgb="FFFCE4D6"/>
      <rgbColor rgb="FFCC99FF"/>
      <rgbColor rgb="FFFFC7CE"/>
      <rgbColor rgb="FF4F81BD"/>
      <rgbColor rgb="FF33CCCC"/>
      <rgbColor rgb="FF99CC00"/>
      <rgbColor rgb="FFFFCC00"/>
      <rgbColor rgb="FFFF9900"/>
      <rgbColor rgb="FFFF6600"/>
      <rgbColor rgb="FF595959"/>
      <rgbColor rgb="FF969696"/>
      <rgbColor rgb="FF1F3864"/>
      <rgbColor rgb="FF339966"/>
      <rgbColor rgb="FF003300"/>
      <rgbColor rgb="FF333300"/>
      <rgbColor rgb="FF974706"/>
      <rgbColor rgb="FF993366"/>
      <rgbColor rgb="FF1F4E9C"/>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درآمد بر اساس آیتم منو</a:t>
            </a:r>
          </a:p>
        </c:rich>
      </c:tx>
      <c:overlay val="0"/>
      <c:spPr>
        <a:noFill/>
        <a:ln w="0">
          <a:noFill/>
        </a:ln>
      </c:spPr>
    </c:title>
    <c:autoTitleDeleted val="0"/>
    <c:plotArea>
      <c:barChart>
        <c:barDir val="col"/>
        <c:grouping val="clustered"/>
        <c:varyColors val="0"/>
        <c:ser>
          <c:idx val="0"/>
          <c:order val="0"/>
          <c:tx>
            <c:strRef>
              <c:f>داشبورد!B14</c:f>
              <c:strCache>
                <c:ptCount val="1"/>
                <c:pt idx="0">
                  <c:v>درآمد</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داشبورد!$A$15:$A$20</c:f>
              <c:strCache>
                <c:ptCount val="6"/>
                <c:pt idx="0">
                  <c:v>پیتزا مارگاریتا</c:v>
                </c:pt>
                <c:pt idx="1">
                  <c:v>پیتزا پپرونی</c:v>
                </c:pt>
                <c:pt idx="2">
                  <c:v>سالاد سزار</c:v>
                </c:pt>
                <c:pt idx="3">
                  <c:v>برگر مرغ</c:v>
                </c:pt>
                <c:pt idx="4">
                  <c:v>نان سیر</c:v>
                </c:pt>
                <c:pt idx="5">
                  <c:v>چای یخ</c:v>
                </c:pt>
              </c:strCache>
            </c:strRef>
          </c:cat>
          <c:val>
            <c:numRef>
              <c:f>داشبورد!$B$15:$B$20</c:f>
              <c:numCache>
                <c:formatCode>\$#,##0</c:formatCode>
                <c:ptCount val="6"/>
                <c:pt idx="0">
                  <c:v>5617.3</c:v>
                </c:pt>
                <c:pt idx="1">
                  <c:v>7452.9</c:v>
                </c:pt>
                <c:pt idx="2">
                  <c:v>2415</c:v>
                </c:pt>
                <c:pt idx="3">
                  <c:v>4140.9</c:v>
                </c:pt>
                <c:pt idx="4">
                  <c:v>1118</c:v>
                </c:pt>
                <c:pt idx="5">
                  <c:v>941.5</c:v>
                </c:pt>
              </c:numCache>
            </c:numRef>
          </c:val>
        </c:ser>
        <c:gapWidth val="150"/>
        <c:overlap val="0"/>
        <c:axId val="39629141"/>
        <c:axId val="53150799"/>
      </c:barChart>
      <c:catAx>
        <c:axId val="396291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150799"/>
        <c:crosses val="autoZero"/>
        <c:auto val="1"/>
        <c:lblAlgn val="ctr"/>
        <c:lblOffset val="100"/>
        <c:noMultiLvlLbl val="0"/>
      </c:catAx>
      <c:valAx>
        <c:axId val="5315079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درآمد</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62914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سود خالص بر اساس آیتم منو</a:t>
            </a:r>
          </a:p>
        </c:rich>
      </c:tx>
      <c:overlay val="0"/>
      <c:spPr>
        <a:noFill/>
        <a:ln w="0">
          <a:noFill/>
        </a:ln>
      </c:spPr>
    </c:title>
    <c:autoTitleDeleted val="0"/>
    <c:plotArea>
      <c:barChart>
        <c:barDir val="col"/>
        <c:grouping val="clustered"/>
        <c:varyColors val="0"/>
        <c:ser>
          <c:idx val="0"/>
          <c:order val="0"/>
          <c:tx>
            <c:strRef>
              <c:f>داشبورد!C14</c:f>
              <c:strCache>
                <c:ptCount val="1"/>
                <c:pt idx="0">
                  <c:v>سود خالص</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داشبورد!$A$15:$A$20</c:f>
              <c:strCache>
                <c:ptCount val="6"/>
                <c:pt idx="0">
                  <c:v>پیتزا مارگاریتا</c:v>
                </c:pt>
                <c:pt idx="1">
                  <c:v>پیتزا پپرونی</c:v>
                </c:pt>
                <c:pt idx="2">
                  <c:v>سالاد سزار</c:v>
                </c:pt>
                <c:pt idx="3">
                  <c:v>برگر مرغ</c:v>
                </c:pt>
                <c:pt idx="4">
                  <c:v>نان سیر</c:v>
                </c:pt>
                <c:pt idx="5">
                  <c:v>چای یخ</c:v>
                </c:pt>
              </c:strCache>
            </c:strRef>
          </c:cat>
          <c:val>
            <c:numRef>
              <c:f>داشبورد!$C$15:$C$20</c:f>
              <c:numCache>
                <c:formatCode>\$#,##0</c:formatCode>
                <c:ptCount val="6"/>
                <c:pt idx="0">
                  <c:v>1652.74512652402</c:v>
                </c:pt>
                <c:pt idx="1">
                  <c:v>2593.03792933193</c:v>
                </c:pt>
                <c:pt idx="2">
                  <c:v>333.579233720244</c:v>
                </c:pt>
                <c:pt idx="3">
                  <c:v>1122.01517056254</c:v>
                </c:pt>
                <c:pt idx="4">
                  <c:v>-284.500555729984</c:v>
                </c:pt>
                <c:pt idx="5">
                  <c:v>-1093.43326923077</c:v>
                </c:pt>
              </c:numCache>
            </c:numRef>
          </c:val>
        </c:ser>
        <c:gapWidth val="150"/>
        <c:overlap val="0"/>
        <c:axId val="73810432"/>
        <c:axId val="38346862"/>
      </c:barChart>
      <c:catAx>
        <c:axId val="7381043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346862"/>
        <c:crosses val="autoZero"/>
        <c:auto val="1"/>
        <c:lblAlgn val="ctr"/>
        <c:lblOffset val="100"/>
        <c:noMultiLvlLbl val="0"/>
      </c:catAx>
      <c:valAx>
        <c:axId val="3834686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سود خالص</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81043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-818280</xdr:colOff>
      <xdr:row>22</xdr:row>
      <xdr:rowOff>0</xdr:rowOff>
    </xdr:from>
    <xdr:to>
      <xdr:col>5</xdr:col>
      <xdr:colOff>0</xdr:colOff>
      <xdr:row>37</xdr:row>
      <xdr:rowOff>21960</xdr:rowOff>
    </xdr:to>
    <xdr:graphicFrame>
      <xdr:nvGraphicFramePr>
        <xdr:cNvPr id="0" name="Chart 1"/>
        <xdr:cNvGraphicFramePr/>
      </xdr:nvGraphicFramePr>
      <xdr:xfrm>
        <a:off x="-5399640" y="455292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-204480</xdr:colOff>
      <xdr:row>22</xdr:row>
      <xdr:rowOff>0</xdr:rowOff>
    </xdr:from>
    <xdr:to>
      <xdr:col>12</xdr:col>
      <xdr:colOff>0</xdr:colOff>
      <xdr:row>37</xdr:row>
      <xdr:rowOff>21960</xdr:rowOff>
    </xdr:to>
    <xdr:graphicFrame>
      <xdr:nvGraphicFramePr>
        <xdr:cNvPr id="1" name="Chart 2"/>
        <xdr:cNvGraphicFramePr/>
      </xdr:nvGraphicFramePr>
      <xdr:xfrm>
        <a:off x="-9981000" y="4552920"/>
        <a:ext cx="53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60"/>
    <col collapsed="false" customWidth="true" hidden="false" outlineLevel="0" max="6" min="4" style="0" width="3"/>
  </cols>
  <sheetData>
    <row r="1" customFormat="false" ht="25.5" hidden="false" customHeight="true" outlineLevel="0" collapsed="false">
      <c r="A1" s="1" t="s">
        <v>0</v>
      </c>
      <c r="B1" s="1"/>
      <c r="C1" s="1"/>
      <c r="D1" s="1"/>
      <c r="E1" s="1"/>
      <c r="F1" s="1"/>
    </row>
    <row r="2" customFormat="false" ht="18" hidden="false" customHeight="true" outlineLevel="0" collapsed="false">
      <c r="A2" s="2" t="s">
        <v>1</v>
      </c>
      <c r="B2" s="2"/>
      <c r="C2" s="2"/>
      <c r="D2" s="2"/>
      <c r="E2" s="2"/>
      <c r="F2" s="2"/>
    </row>
    <row r="4" customFormat="false" ht="15" hidden="false" customHeight="false" outlineLevel="0" collapsed="false">
      <c r="B4" s="3" t="s">
        <v>2</v>
      </c>
    </row>
    <row r="5" customFormat="false" ht="23.85" hidden="false" customHeight="false" outlineLevel="0" collapsed="false">
      <c r="B5" s="4" t="s">
        <v>3</v>
      </c>
      <c r="C5" s="5" t="s">
        <v>4</v>
      </c>
    </row>
    <row r="7" customFormat="false" ht="15" hidden="false" customHeight="false" outlineLevel="0" collapsed="false">
      <c r="B7" s="3" t="s">
        <v>5</v>
      </c>
    </row>
    <row r="8" customFormat="false" ht="15" hidden="false" customHeight="false" outlineLevel="0" collapsed="false">
      <c r="B8" s="6" t="s">
        <v>6</v>
      </c>
      <c r="C8" s="7" t="s">
        <v>7</v>
      </c>
    </row>
    <row r="9" customFormat="false" ht="15" hidden="false" customHeight="false" outlineLevel="0" collapsed="false">
      <c r="B9" s="8" t="s">
        <v>8</v>
      </c>
      <c r="C9" s="7" t="s">
        <v>9</v>
      </c>
    </row>
    <row r="10" customFormat="false" ht="15" hidden="false" customHeight="false" outlineLevel="0" collapsed="false">
      <c r="B10" s="9" t="s">
        <v>10</v>
      </c>
      <c r="C10" s="7" t="s">
        <v>11</v>
      </c>
    </row>
    <row r="12" customFormat="false" ht="15" hidden="false" customHeight="false" outlineLevel="0" collapsed="false">
      <c r="B12" s="3" t="s">
        <v>12</v>
      </c>
    </row>
    <row r="13" customFormat="false" ht="15" hidden="false" customHeight="false" outlineLevel="0" collapsed="false">
      <c r="C13" s="8" t="s">
        <v>13</v>
      </c>
    </row>
    <row r="14" customFormat="false" ht="15" hidden="false" customHeight="false" outlineLevel="0" collapsed="false">
      <c r="C14" s="8" t="s">
        <v>14</v>
      </c>
    </row>
    <row r="15" customFormat="false" ht="15" hidden="false" customHeight="false" outlineLevel="0" collapsed="false">
      <c r="C15" s="8" t="s">
        <v>15</v>
      </c>
    </row>
    <row r="16" customFormat="false" ht="15" hidden="false" customHeight="false" outlineLevel="0" collapsed="false">
      <c r="C16" s="8" t="s">
        <v>16</v>
      </c>
    </row>
    <row r="17" customFormat="false" ht="15" hidden="false" customHeight="false" outlineLevel="0" collapsed="false">
      <c r="C17" s="8" t="s">
        <v>17</v>
      </c>
    </row>
    <row r="18" customFormat="false" ht="15" hidden="false" customHeight="false" outlineLevel="0" collapsed="false">
      <c r="C18" s="8" t="s">
        <v>18</v>
      </c>
    </row>
    <row r="19" customFormat="false" ht="15" hidden="false" customHeight="false" outlineLevel="0" collapsed="false">
      <c r="C19" s="8" t="s">
        <v>19</v>
      </c>
    </row>
    <row r="20" customFormat="false" ht="15" hidden="false" customHeight="false" outlineLevel="0" collapsed="false">
      <c r="C20" s="8" t="s">
        <v>20</v>
      </c>
    </row>
    <row r="21" customFormat="false" ht="15" hidden="false" customHeight="false" outlineLevel="0" collapsed="false">
      <c r="C21" s="8" t="s">
        <v>21</v>
      </c>
    </row>
    <row r="23" customFormat="false" ht="15" hidden="false" customHeight="false" outlineLevel="0" collapsed="false">
      <c r="B23" s="3" t="s">
        <v>22</v>
      </c>
    </row>
    <row r="24" customFormat="false" ht="15" hidden="false" customHeight="false" outlineLevel="0" collapsed="false">
      <c r="B24" s="4" t="s">
        <v>23</v>
      </c>
      <c r="C24" s="5" t="s">
        <v>24</v>
      </c>
    </row>
    <row r="25" customFormat="false" ht="15" hidden="false" customHeight="false" outlineLevel="0" collapsed="false">
      <c r="B25" s="4" t="s">
        <v>25</v>
      </c>
      <c r="C25" s="5" t="s">
        <v>26</v>
      </c>
    </row>
    <row r="26" customFormat="false" ht="15" hidden="false" customHeight="false" outlineLevel="0" collapsed="false">
      <c r="B26" s="4" t="s">
        <v>27</v>
      </c>
      <c r="C26" s="5" t="s">
        <v>28</v>
      </c>
    </row>
    <row r="27" customFormat="false" ht="15" hidden="false" customHeight="false" outlineLevel="0" collapsed="false">
      <c r="B27" s="4" t="s">
        <v>29</v>
      </c>
      <c r="C27" s="5" t="s">
        <v>30</v>
      </c>
    </row>
    <row r="28" customFormat="false" ht="15" hidden="false" customHeight="false" outlineLevel="0" collapsed="false">
      <c r="B28" s="4" t="s">
        <v>31</v>
      </c>
      <c r="C28" s="5" t="s">
        <v>32</v>
      </c>
    </row>
    <row r="30" customFormat="false" ht="15" hidden="false" customHeight="false" outlineLevel="0" collapsed="false">
      <c r="B30" s="3" t="s">
        <v>33</v>
      </c>
    </row>
    <row r="31" customFormat="false" ht="15" hidden="false" customHeight="false" outlineLevel="0" collapsed="false">
      <c r="C31" s="8" t="s">
        <v>34</v>
      </c>
    </row>
    <row r="32" customFormat="false" ht="15" hidden="false" customHeight="false" outlineLevel="0" collapsed="false">
      <c r="C32" s="8" t="s">
        <v>35</v>
      </c>
    </row>
    <row r="33" customFormat="false" ht="15" hidden="false" customHeight="false" outlineLevel="0" collapsed="false">
      <c r="C33" s="8" t="s">
        <v>36</v>
      </c>
    </row>
    <row r="35" customFormat="false" ht="15" hidden="false" customHeight="false" outlineLevel="0" collapsed="false">
      <c r="B35" s="3" t="s">
        <v>37</v>
      </c>
    </row>
    <row r="36" customFormat="false" ht="15" hidden="false" customHeight="false" outlineLevel="0" collapsed="false">
      <c r="C36" s="8" t="s">
        <v>38</v>
      </c>
    </row>
    <row r="37" customFormat="false" ht="15" hidden="false" customHeight="false" outlineLevel="0" collapsed="false">
      <c r="B37" s="3" t="s">
        <v>39</v>
      </c>
    </row>
    <row r="38" customFormat="false" ht="30" hidden="false" customHeight="true" outlineLevel="0" collapsed="false">
      <c r="C38" s="5" t="s">
        <v>40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3"/>
    <col collapsed="false" customWidth="true" hidden="false" outlineLevel="0" max="4" min="4" style="0" width="40"/>
  </cols>
  <sheetData>
    <row r="1" customFormat="false" ht="25.5" hidden="false" customHeight="true" outlineLevel="0" collapsed="false">
      <c r="A1" s="1" t="s">
        <v>41</v>
      </c>
      <c r="B1" s="1"/>
      <c r="C1" s="1"/>
      <c r="D1" s="1"/>
    </row>
    <row r="2" customFormat="false" ht="18" hidden="false" customHeight="true" outlineLevel="0" collapsed="false">
      <c r="A2" s="2" t="s">
        <v>42</v>
      </c>
      <c r="B2" s="2"/>
      <c r="C2" s="2"/>
      <c r="D2" s="2"/>
    </row>
    <row r="4" customFormat="false" ht="19.5" hidden="false" customHeight="true" outlineLevel="0" collapsed="false">
      <c r="A4" s="10" t="s">
        <v>43</v>
      </c>
      <c r="B4" s="10" t="s">
        <v>44</v>
      </c>
    </row>
    <row r="5" customFormat="false" ht="15" hidden="false" customHeight="false" outlineLevel="0" collapsed="false">
      <c r="A5" s="4" t="s">
        <v>45</v>
      </c>
      <c r="B5" s="11" t="s">
        <v>46</v>
      </c>
    </row>
    <row r="6" customFormat="false" ht="15" hidden="false" customHeight="false" outlineLevel="0" collapsed="false">
      <c r="A6" s="4" t="s">
        <v>47</v>
      </c>
      <c r="B6" s="11" t="s">
        <v>48</v>
      </c>
    </row>
    <row r="7" customFormat="false" ht="15" hidden="false" customHeight="false" outlineLevel="0" collapsed="false">
      <c r="A7" s="4" t="s">
        <v>49</v>
      </c>
      <c r="B7" s="12" t="n">
        <v>0.08</v>
      </c>
    </row>
    <row r="8" customFormat="false" ht="15" hidden="false" customHeight="false" outlineLevel="0" collapsed="false">
      <c r="A8" s="4" t="s">
        <v>50</v>
      </c>
      <c r="B8" s="13" t="n">
        <v>26</v>
      </c>
    </row>
    <row r="9" customFormat="false" ht="15" hidden="false" customHeight="false" outlineLevel="0" collapsed="false">
      <c r="A9" s="4" t="s">
        <v>51</v>
      </c>
      <c r="B9" s="12" t="n">
        <v>0.3</v>
      </c>
    </row>
    <row r="10" customFormat="false" ht="15" hidden="false" customHeight="false" outlineLevel="0" collapsed="false">
      <c r="A10" s="4" t="s">
        <v>52</v>
      </c>
      <c r="B10" s="12" t="n">
        <v>0.65</v>
      </c>
    </row>
    <row r="11" customFormat="false" ht="15" hidden="false" customHeight="false" outlineLevel="0" collapsed="false">
      <c r="A11" s="4" t="s">
        <v>53</v>
      </c>
      <c r="B11" s="12" t="n">
        <v>0.15</v>
      </c>
    </row>
    <row r="12" customFormat="false" ht="15" hidden="false" customHeight="false" outlineLevel="0" collapsed="false">
      <c r="A12" s="4" t="s">
        <v>54</v>
      </c>
      <c r="B12" s="14" t="n">
        <v>15000</v>
      </c>
    </row>
    <row r="13" customFormat="false" ht="15" hidden="false" customHeight="false" outlineLevel="0" collapsed="false">
      <c r="A13" s="4" t="s">
        <v>55</v>
      </c>
      <c r="B13" s="14" t="n">
        <v>80000</v>
      </c>
    </row>
    <row r="14" customFormat="false" ht="15" hidden="false" customHeight="false" outlineLevel="0" collapsed="false">
      <c r="A14" s="4" t="s">
        <v>56</v>
      </c>
      <c r="B14" s="13" t="n">
        <v>120</v>
      </c>
    </row>
    <row r="15" customFormat="false" ht="15" hidden="false" customHeight="false" outlineLevel="0" collapsed="false">
      <c r="A15" s="4" t="s">
        <v>57</v>
      </c>
      <c r="B15" s="15" t="n">
        <v>2</v>
      </c>
    </row>
    <row r="16" customFormat="false" ht="15" hidden="false" customHeight="false" outlineLevel="0" collapsed="false">
      <c r="A16" s="4" t="s">
        <v>58</v>
      </c>
      <c r="B16" s="16" t="n">
        <f aca="false">B13/(B8*B14)</f>
        <v>25.6410256410256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3"/>
  </cols>
  <sheetData>
    <row r="1" customFormat="false" ht="25.5" hidden="false" customHeight="true" outlineLevel="0" collapsed="false">
      <c r="A1" s="1" t="s">
        <v>59</v>
      </c>
      <c r="B1" s="1"/>
      <c r="C1" s="1"/>
      <c r="D1" s="1"/>
      <c r="E1" s="1"/>
      <c r="F1" s="1"/>
      <c r="G1" s="1"/>
      <c r="H1" s="1"/>
    </row>
    <row r="2" customFormat="false" ht="18" hidden="false" customHeight="true" outlineLevel="0" collapsed="false">
      <c r="A2" s="2" t="s">
        <v>60</v>
      </c>
      <c r="B2" s="2"/>
      <c r="C2" s="2"/>
      <c r="D2" s="2"/>
      <c r="E2" s="2"/>
      <c r="F2" s="2"/>
      <c r="G2" s="2"/>
      <c r="H2" s="2"/>
    </row>
    <row r="4" customFormat="false" ht="15.75" hidden="false" customHeight="true" outlineLevel="0" collapsed="false">
      <c r="A4" s="17" t="s">
        <v>61</v>
      </c>
      <c r="B4" s="17"/>
      <c r="C4" s="17" t="s">
        <v>62</v>
      </c>
      <c r="D4" s="17"/>
      <c r="E4" s="17" t="s">
        <v>63</v>
      </c>
      <c r="F4" s="17"/>
      <c r="G4" s="17" t="s">
        <v>64</v>
      </c>
      <c r="H4" s="17"/>
    </row>
    <row r="5" customFormat="false" ht="21.75" hidden="false" customHeight="true" outlineLevel="0" collapsed="false">
      <c r="A5" s="18" t="n">
        <f aca="false">SUM(فروش!$D$5:$D$124)</f>
        <v>21685.6</v>
      </c>
      <c r="B5" s="18"/>
      <c r="C5" s="18" t="n">
        <f aca="false">SUM(فروش!$E$5:$E$124)</f>
        <v>18483.6494044088</v>
      </c>
      <c r="D5" s="18"/>
      <c r="E5" s="18" t="n">
        <f aca="false">SUM(فروش!$F$5:$F$124)</f>
        <v>4323.44363517798</v>
      </c>
      <c r="F5" s="18"/>
      <c r="G5" s="19" t="n">
        <f aca="false">AVERAGE('قیمت‌گذاری منو'!$O$5:$O$10)</f>
        <v>0.0860186868225914</v>
      </c>
      <c r="H5" s="19"/>
    </row>
    <row r="6" customFormat="false" ht="15" hidden="false" customHeight="false" outlineLevel="0" collapsed="false">
      <c r="A6" s="18"/>
      <c r="B6" s="18"/>
      <c r="C6" s="18"/>
      <c r="D6" s="18"/>
      <c r="E6" s="18"/>
      <c r="F6" s="18"/>
      <c r="G6" s="19"/>
      <c r="H6" s="19"/>
    </row>
    <row r="8" customFormat="false" ht="15.75" hidden="false" customHeight="true" outlineLevel="0" collapsed="false">
      <c r="A8" s="17" t="s">
        <v>65</v>
      </c>
      <c r="B8" s="17"/>
      <c r="C8" s="17" t="s">
        <v>66</v>
      </c>
      <c r="D8" s="17"/>
      <c r="E8" s="17" t="s">
        <v>67</v>
      </c>
      <c r="F8" s="17"/>
      <c r="G8" s="17" t="s">
        <v>68</v>
      </c>
      <c r="H8" s="17"/>
    </row>
    <row r="9" customFormat="false" ht="21.75" hidden="false" customHeight="true" outlineLevel="0" collapsed="false">
      <c r="A9" s="19" t="n">
        <f aca="false">AVERAGE('قیمت‌گذاری منو'!$N$5:$N$10)</f>
        <v>-0.0607686050263622</v>
      </c>
      <c r="B9" s="19"/>
      <c r="C9" s="20" t="n">
        <f aca="false">IFERROR(SUM(فروش!$F$5:$F$124)/SUM(فروش!$C$5:$C$124),0)</f>
        <v>2.41533163976424</v>
      </c>
      <c r="D9" s="20"/>
      <c r="E9" s="18" t="n">
        <f aca="false">IFERROR(SUM(فروش!$F$5:$F$124)/(فروش!$A$124-فروش!$A$5+1)*'پروفایل کسب‌وکار'!$B$8,0)</f>
        <v>5620.47672573138</v>
      </c>
      <c r="F9" s="18"/>
      <c r="G9" s="21" t="n">
        <f aca="false">'امتیاز سلامت رستوران'!$D$16</f>
        <v>58.871653658946</v>
      </c>
      <c r="H9" s="21"/>
    </row>
    <row r="10" customFormat="false" ht="15" hidden="false" customHeight="false" outlineLevel="0" collapsed="false">
      <c r="A10" s="19"/>
      <c r="B10" s="19"/>
      <c r="C10" s="20"/>
      <c r="D10" s="20"/>
      <c r="E10" s="18"/>
      <c r="F10" s="18"/>
      <c r="G10" s="21"/>
      <c r="H10" s="21"/>
    </row>
    <row r="14" customFormat="false" ht="15" hidden="false" customHeight="false" outlineLevel="0" collapsed="false">
      <c r="A14" s="22" t="s">
        <v>69</v>
      </c>
      <c r="B14" s="22" t="s">
        <v>70</v>
      </c>
      <c r="C14" s="22" t="s">
        <v>71</v>
      </c>
      <c r="D14" s="22" t="s">
        <v>72</v>
      </c>
    </row>
    <row r="15" customFormat="false" ht="15" hidden="false" customHeight="false" outlineLevel="0" collapsed="false">
      <c r="A15" s="0" t="str">
        <f aca="false">'قیمت‌گذاری منو'!A5</f>
        <v>پیتزا مارگاریتا</v>
      </c>
      <c r="B15" s="23" t="n">
        <f aca="false">SUMIFS(فروش!$D$5:$D$124,فروش!$B$5:$B$124,A15)</f>
        <v>5617.3</v>
      </c>
      <c r="C15" s="23" t="n">
        <f aca="false">SUMIFS(فروش!$F$5:$F$124,فروش!$B$5:$B$124,A15)</f>
        <v>1652.74512652402</v>
      </c>
      <c r="D15" s="24" t="n">
        <f aca="false">SUMIFS(فروش!$C$5:$C$124,فروش!$B$5:$B$124,A15)</f>
        <v>377</v>
      </c>
    </row>
    <row r="16" customFormat="false" ht="15" hidden="false" customHeight="false" outlineLevel="0" collapsed="false">
      <c r="A16" s="0" t="str">
        <f aca="false">'قیمت‌گذاری منو'!A6</f>
        <v>پیتزا پپرونی</v>
      </c>
      <c r="B16" s="23" t="n">
        <f aca="false">SUMIFS(فروش!$D$5:$D$124,فروش!$B$5:$B$124,A16)</f>
        <v>7452.9</v>
      </c>
      <c r="C16" s="23" t="n">
        <f aca="false">SUMIFS(فروش!$F$5:$F$124,فروش!$B$5:$B$124,A16)</f>
        <v>2593.03792933193</v>
      </c>
      <c r="D16" s="24" t="n">
        <f aca="false">SUMIFS(فروش!$C$5:$C$124,فروش!$B$5:$B$124,A16)</f>
        <v>441</v>
      </c>
    </row>
    <row r="17" customFormat="false" ht="15" hidden="false" customHeight="false" outlineLevel="0" collapsed="false">
      <c r="A17" s="0" t="str">
        <f aca="false">'قیمت‌گذاری منو'!A7</f>
        <v>سالاد سزار</v>
      </c>
      <c r="B17" s="23" t="n">
        <f aca="false">SUMIFS(فروش!$D$5:$D$124,فروش!$B$5:$B$124,A17)</f>
        <v>2415</v>
      </c>
      <c r="C17" s="23" t="n">
        <f aca="false">SUMIFS(فروش!$F$5:$F$124,فروش!$B$5:$B$124,A17)</f>
        <v>333.579233720244</v>
      </c>
      <c r="D17" s="24" t="n">
        <f aca="false">SUMIFS(فروش!$C$5:$C$124,فروش!$B$5:$B$124,A17)</f>
        <v>210</v>
      </c>
    </row>
    <row r="18" customFormat="false" ht="15" hidden="false" customHeight="false" outlineLevel="0" collapsed="false">
      <c r="A18" s="0" t="str">
        <f aca="false">'قیمت‌گذاری منو'!A8</f>
        <v>برگر مرغ</v>
      </c>
      <c r="B18" s="23" t="n">
        <f aca="false">SUMIFS(فروش!$D$5:$D$124,فروش!$B$5:$B$124,A18)</f>
        <v>4140.9</v>
      </c>
      <c r="C18" s="23" t="n">
        <f aca="false">SUMIFS(فروش!$F$5:$F$124,فروش!$B$5:$B$124,A18)</f>
        <v>1122.01517056254</v>
      </c>
      <c r="D18" s="24" t="n">
        <f aca="false">SUMIFS(فروش!$C$5:$C$124,فروش!$B$5:$B$124,A18)</f>
        <v>321</v>
      </c>
    </row>
    <row r="19" customFormat="false" ht="15" hidden="false" customHeight="false" outlineLevel="0" collapsed="false">
      <c r="A19" s="0" t="str">
        <f aca="false">'قیمت‌گذاری منو'!A9</f>
        <v>نان سیر</v>
      </c>
      <c r="B19" s="23" t="n">
        <f aca="false">SUMIFS(فروش!$D$5:$D$124,فروش!$B$5:$B$124,A19)</f>
        <v>1118</v>
      </c>
      <c r="C19" s="23" t="n">
        <f aca="false">SUMIFS(فروش!$F$5:$F$124,فروش!$B$5:$B$124,A19)</f>
        <v>-284.500555729984</v>
      </c>
      <c r="D19" s="24" t="n">
        <f aca="false">SUMIFS(فروش!$C$5:$C$124,فروش!$B$5:$B$124,A19)</f>
        <v>172</v>
      </c>
    </row>
    <row r="20" customFormat="false" ht="15" hidden="false" customHeight="false" outlineLevel="0" collapsed="false">
      <c r="A20" s="0" t="str">
        <f aca="false">'قیمت‌گذاری منو'!A10</f>
        <v>چای یخ</v>
      </c>
      <c r="B20" s="23" t="n">
        <f aca="false">SUMIFS(فروش!$D$5:$D$124,فروش!$B$5:$B$124,A20)</f>
        <v>941.5</v>
      </c>
      <c r="C20" s="23" t="n">
        <f aca="false">SUMIFS(فروش!$F$5:$F$124,فروش!$B$5:$B$124,A20)</f>
        <v>-1093.43326923077</v>
      </c>
      <c r="D20" s="24" t="n">
        <f aca="false">SUMIFS(فروش!$C$5:$C$124,فروش!$B$5:$B$124,A20)</f>
        <v>269</v>
      </c>
    </row>
  </sheetData>
  <mergeCells count="18">
    <mergeCell ref="A1:H1"/>
    <mergeCell ref="A2:H2"/>
    <mergeCell ref="A4:B4"/>
    <mergeCell ref="C4:D4"/>
    <mergeCell ref="E4:F4"/>
    <mergeCell ref="G4:H4"/>
    <mergeCell ref="A5:B6"/>
    <mergeCell ref="C5:D6"/>
    <mergeCell ref="E5:F6"/>
    <mergeCell ref="G5:H6"/>
    <mergeCell ref="A8:B8"/>
    <mergeCell ref="C8:D8"/>
    <mergeCell ref="E8:F8"/>
    <mergeCell ref="G8:H8"/>
    <mergeCell ref="A9:B10"/>
    <mergeCell ref="C9:D10"/>
    <mergeCell ref="E9:F10"/>
    <mergeCell ref="G9: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4"/>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8" min="7" style="0" width="9"/>
    <col collapsed="false" customWidth="true" hidden="false" outlineLevel="0" max="10" min="9" style="0" width="11"/>
    <col collapsed="false" customWidth="true" hidden="false" outlineLevel="0" max="11" min="11" style="0" width="12"/>
    <col collapsed="false" customWidth="true" hidden="false" outlineLevel="0" max="14" min="12" style="0" width="11"/>
    <col collapsed="false" customWidth="true" hidden="false" outlineLevel="0" max="15" min="15" style="0" width="13"/>
    <col collapsed="false" customWidth="true" hidden="false" outlineLevel="0" max="16" min="16" style="0" width="18"/>
  </cols>
  <sheetData>
    <row r="1" customFormat="false" ht="25.5" hidden="false" customHeight="true" outlineLevel="0" collapsed="false">
      <c r="A1" s="1" t="s">
        <v>73</v>
      </c>
      <c r="B1" s="1"/>
      <c r="C1" s="1"/>
      <c r="D1" s="1"/>
      <c r="E1" s="1"/>
      <c r="F1" s="1"/>
      <c r="G1" s="1"/>
      <c r="H1" s="1"/>
      <c r="I1" s="1"/>
      <c r="J1" s="1"/>
      <c r="K1" s="1"/>
      <c r="L1" s="1"/>
      <c r="M1" s="1"/>
      <c r="N1" s="1"/>
      <c r="O1" s="1"/>
      <c r="P1" s="1"/>
    </row>
    <row r="2" customFormat="false" ht="18" hidden="false" customHeight="true" outlineLevel="0" collapsed="false">
      <c r="A2" s="2" t="s">
        <v>74</v>
      </c>
      <c r="B2" s="2"/>
      <c r="C2" s="2"/>
      <c r="D2" s="2"/>
      <c r="E2" s="2"/>
      <c r="F2" s="2"/>
      <c r="G2" s="2"/>
      <c r="H2" s="2"/>
      <c r="I2" s="2"/>
      <c r="J2" s="2"/>
      <c r="K2" s="2"/>
      <c r="L2" s="2"/>
      <c r="M2" s="2"/>
      <c r="N2" s="2"/>
      <c r="O2" s="2"/>
      <c r="P2" s="2"/>
    </row>
    <row r="4" customFormat="false" ht="30" hidden="false" customHeight="true" outlineLevel="0" collapsed="false">
      <c r="A4" s="25" t="s">
        <v>75</v>
      </c>
      <c r="B4" s="25" t="s">
        <v>76</v>
      </c>
      <c r="C4" s="25" t="s">
        <v>77</v>
      </c>
      <c r="D4" s="25" t="s">
        <v>78</v>
      </c>
      <c r="E4" s="25" t="s">
        <v>79</v>
      </c>
      <c r="F4" s="25" t="s">
        <v>80</v>
      </c>
      <c r="G4" s="25" t="s">
        <v>81</v>
      </c>
      <c r="H4" s="25" t="s">
        <v>82</v>
      </c>
      <c r="I4" s="25" t="s">
        <v>83</v>
      </c>
      <c r="J4" s="25" t="s">
        <v>84</v>
      </c>
      <c r="K4" s="25" t="s">
        <v>85</v>
      </c>
      <c r="L4" s="25" t="s">
        <v>86</v>
      </c>
      <c r="M4" s="25" t="s">
        <v>87</v>
      </c>
      <c r="N4" s="25" t="s">
        <v>88</v>
      </c>
      <c r="O4" s="25" t="s">
        <v>89</v>
      </c>
      <c r="P4" s="25" t="s">
        <v>90</v>
      </c>
    </row>
    <row r="5" customFormat="false" ht="15" hidden="false" customHeight="false" outlineLevel="0" collapsed="false">
      <c r="A5" s="26" t="s">
        <v>91</v>
      </c>
      <c r="B5" s="26" t="s">
        <v>92</v>
      </c>
      <c r="C5" s="26" t="s">
        <v>93</v>
      </c>
      <c r="D5" s="26" t="s">
        <v>94</v>
      </c>
      <c r="E5" s="26" t="n">
        <v>25</v>
      </c>
      <c r="F5" s="27" t="n">
        <v>32.5</v>
      </c>
      <c r="G5" s="28" t="n">
        <v>0.02</v>
      </c>
      <c r="H5" s="28" t="n">
        <v>0.98</v>
      </c>
      <c r="I5" s="26" t="n">
        <v>120</v>
      </c>
      <c r="J5" s="26" t="n">
        <v>40</v>
      </c>
      <c r="K5" s="29" t="n">
        <f aca="false">IFERROR(F5/E5/H5,0)</f>
        <v>1.3265306122449</v>
      </c>
      <c r="L5" s="29" t="n">
        <f aca="false">IF(D5="kg",K5/1000,IF(D5="g",K5,""))</f>
        <v>0.0013265306122449</v>
      </c>
      <c r="M5" s="29" t="str">
        <f aca="false">IF(D5="piece",K5,"")</f>
        <v/>
      </c>
      <c r="N5" s="29" t="str">
        <f aca="false">IF(D5="l",K5,"")</f>
        <v/>
      </c>
      <c r="O5" s="30" t="n">
        <v>46227</v>
      </c>
      <c r="P5" s="26"/>
    </row>
    <row r="6" customFormat="false" ht="15" hidden="false" customHeight="false" outlineLevel="0" collapsed="false">
      <c r="A6" s="26" t="s">
        <v>95</v>
      </c>
      <c r="B6" s="26" t="s">
        <v>96</v>
      </c>
      <c r="C6" s="26" t="s">
        <v>97</v>
      </c>
      <c r="D6" s="26" t="s">
        <v>94</v>
      </c>
      <c r="E6" s="26" t="n">
        <v>5</v>
      </c>
      <c r="F6" s="27" t="n">
        <v>38</v>
      </c>
      <c r="G6" s="28" t="n">
        <v>0.03</v>
      </c>
      <c r="H6" s="28" t="n">
        <v>0.97</v>
      </c>
      <c r="I6" s="26" t="n">
        <v>35</v>
      </c>
      <c r="J6" s="26" t="n">
        <v>15</v>
      </c>
      <c r="K6" s="29" t="n">
        <f aca="false">IFERROR(F6/E6/H6,0)</f>
        <v>7.83505154639175</v>
      </c>
      <c r="L6" s="29" t="n">
        <f aca="false">IF(D6="kg",K6/1000,IF(D6="g",K6,""))</f>
        <v>0.00783505154639175</v>
      </c>
      <c r="M6" s="29" t="str">
        <f aca="false">IF(D6="piece",K6,"")</f>
        <v/>
      </c>
      <c r="N6" s="29" t="str">
        <f aca="false">IF(D6="l",K6,"")</f>
        <v/>
      </c>
      <c r="O6" s="30" t="n">
        <v>46226</v>
      </c>
      <c r="P6" s="26"/>
    </row>
    <row r="7" customFormat="false" ht="15" hidden="false" customHeight="false" outlineLevel="0" collapsed="false">
      <c r="A7" s="26" t="s">
        <v>98</v>
      </c>
      <c r="B7" s="26" t="s">
        <v>99</v>
      </c>
      <c r="C7" s="26" t="s">
        <v>93</v>
      </c>
      <c r="D7" s="26" t="s">
        <v>100</v>
      </c>
      <c r="E7" s="26" t="n">
        <v>10</v>
      </c>
      <c r="F7" s="27" t="n">
        <v>14</v>
      </c>
      <c r="G7" s="28" t="n">
        <v>0.01</v>
      </c>
      <c r="H7" s="28" t="n">
        <v>0.99</v>
      </c>
      <c r="I7" s="26" t="n">
        <v>40</v>
      </c>
      <c r="J7" s="26" t="n">
        <v>15</v>
      </c>
      <c r="K7" s="29" t="n">
        <f aca="false">IFERROR(F7/E7/H7,0)</f>
        <v>1.41414141414141</v>
      </c>
      <c r="L7" s="29" t="str">
        <f aca="false">IF(D7="kg",K7/1000,IF(D7="g",K7,""))</f>
        <v/>
      </c>
      <c r="M7" s="29" t="str">
        <f aca="false">IF(D7="piece",K7,"")</f>
        <v/>
      </c>
      <c r="N7" s="29" t="n">
        <f aca="false">IF(D7="l",K7,"")</f>
        <v>1.41414141414141</v>
      </c>
      <c r="O7" s="30" t="n">
        <v>46225</v>
      </c>
      <c r="P7" s="26"/>
    </row>
    <row r="8" customFormat="false" ht="15" hidden="false" customHeight="false" outlineLevel="0" collapsed="false">
      <c r="A8" s="26" t="s">
        <v>101</v>
      </c>
      <c r="B8" s="26" t="s">
        <v>102</v>
      </c>
      <c r="C8" s="26" t="s">
        <v>103</v>
      </c>
      <c r="D8" s="26" t="s">
        <v>94</v>
      </c>
      <c r="E8" s="26" t="n">
        <v>3</v>
      </c>
      <c r="F8" s="27" t="n">
        <v>22.5</v>
      </c>
      <c r="G8" s="28" t="n">
        <v>0.05</v>
      </c>
      <c r="H8" s="28" t="n">
        <v>0.95</v>
      </c>
      <c r="I8" s="26" t="n">
        <v>18</v>
      </c>
      <c r="J8" s="26" t="n">
        <v>8</v>
      </c>
      <c r="K8" s="29" t="n">
        <f aca="false">IFERROR(F8/E8/H8,0)</f>
        <v>7.89473684210526</v>
      </c>
      <c r="L8" s="29" t="n">
        <f aca="false">IF(D8="kg",K8/1000,IF(D8="g",K8,""))</f>
        <v>0.00789473684210526</v>
      </c>
      <c r="M8" s="29" t="str">
        <f aca="false">IF(D8="piece",K8,"")</f>
        <v/>
      </c>
      <c r="N8" s="29" t="str">
        <f aca="false">IF(D8="l",K8,"")</f>
        <v/>
      </c>
      <c r="O8" s="30" t="n">
        <v>46224</v>
      </c>
      <c r="P8" s="26"/>
    </row>
    <row r="9" customFormat="false" ht="15" hidden="false" customHeight="false" outlineLevel="0" collapsed="false">
      <c r="A9" s="26" t="s">
        <v>104</v>
      </c>
      <c r="B9" s="26" t="s">
        <v>92</v>
      </c>
      <c r="C9" s="26" t="s">
        <v>93</v>
      </c>
      <c r="D9" s="26" t="s">
        <v>100</v>
      </c>
      <c r="E9" s="26" t="n">
        <v>5</v>
      </c>
      <c r="F9" s="27" t="n">
        <v>24</v>
      </c>
      <c r="G9" s="28" t="n">
        <v>0</v>
      </c>
      <c r="H9" s="28" t="n">
        <v>1</v>
      </c>
      <c r="I9" s="26" t="n">
        <v>20</v>
      </c>
      <c r="J9" s="26" t="n">
        <v>8</v>
      </c>
      <c r="K9" s="29" t="n">
        <f aca="false">IFERROR(F9/E9/H9,0)</f>
        <v>4.8</v>
      </c>
      <c r="L9" s="29" t="str">
        <f aca="false">IF(D9="kg",K9/1000,IF(D9="g",K9,""))</f>
        <v/>
      </c>
      <c r="M9" s="29" t="str">
        <f aca="false">IF(D9="piece",K9,"")</f>
        <v/>
      </c>
      <c r="N9" s="29" t="n">
        <f aca="false">IF(D9="l",K9,"")</f>
        <v>4.8</v>
      </c>
      <c r="O9" s="30" t="n">
        <v>46223</v>
      </c>
      <c r="P9" s="26"/>
    </row>
    <row r="10" customFormat="false" ht="15" hidden="false" customHeight="false" outlineLevel="0" collapsed="false">
      <c r="A10" s="26" t="s">
        <v>105</v>
      </c>
      <c r="B10" s="26" t="s">
        <v>99</v>
      </c>
      <c r="C10" s="26" t="s">
        <v>106</v>
      </c>
      <c r="D10" s="26" t="s">
        <v>94</v>
      </c>
      <c r="E10" s="26" t="n">
        <v>1</v>
      </c>
      <c r="F10" s="27" t="n">
        <v>18</v>
      </c>
      <c r="G10" s="28" t="n">
        <v>0.1</v>
      </c>
      <c r="H10" s="28" t="n">
        <v>0.9</v>
      </c>
      <c r="I10" s="26" t="n">
        <v>3</v>
      </c>
      <c r="J10" s="26" t="n">
        <v>1</v>
      </c>
      <c r="K10" s="29" t="n">
        <f aca="false">IFERROR(F10/E10/H10,0)</f>
        <v>20</v>
      </c>
      <c r="L10" s="29" t="n">
        <f aca="false">IF(D10="kg",K10/1000,IF(D10="g",K10,""))</f>
        <v>0.02</v>
      </c>
      <c r="M10" s="29" t="str">
        <f aca="false">IF(D10="piece",K10,"")</f>
        <v/>
      </c>
      <c r="N10" s="29" t="str">
        <f aca="false">IF(D10="l",K10,"")</f>
        <v/>
      </c>
      <c r="O10" s="30" t="n">
        <v>46222</v>
      </c>
      <c r="P10" s="26"/>
    </row>
    <row r="11" customFormat="false" ht="15" hidden="false" customHeight="false" outlineLevel="0" collapsed="false">
      <c r="A11" s="26" t="s">
        <v>107</v>
      </c>
      <c r="B11" s="26" t="s">
        <v>92</v>
      </c>
      <c r="C11" s="26" t="s">
        <v>93</v>
      </c>
      <c r="D11" s="26" t="s">
        <v>94</v>
      </c>
      <c r="E11" s="26" t="n">
        <v>1</v>
      </c>
      <c r="F11" s="27" t="n">
        <v>9.5</v>
      </c>
      <c r="G11" s="28" t="n">
        <v>0.01</v>
      </c>
      <c r="H11" s="28" t="n">
        <v>0.99</v>
      </c>
      <c r="I11" s="26" t="n">
        <v>6</v>
      </c>
      <c r="J11" s="26" t="n">
        <v>2</v>
      </c>
      <c r="K11" s="29" t="n">
        <f aca="false">IFERROR(F11/E11/H11,0)</f>
        <v>9.5959595959596</v>
      </c>
      <c r="L11" s="29" t="n">
        <f aca="false">IF(D11="kg",K11/1000,IF(D11="g",K11,""))</f>
        <v>0.0095959595959596</v>
      </c>
      <c r="M11" s="29" t="str">
        <f aca="false">IF(D11="piece",K11,"")</f>
        <v/>
      </c>
      <c r="N11" s="29" t="str">
        <f aca="false">IF(D11="l",K11,"")</f>
        <v/>
      </c>
      <c r="O11" s="30" t="n">
        <v>46221</v>
      </c>
      <c r="P11" s="26"/>
    </row>
    <row r="12" customFormat="false" ht="15" hidden="false" customHeight="false" outlineLevel="0" collapsed="false">
      <c r="A12" s="26" t="s">
        <v>108</v>
      </c>
      <c r="B12" s="26" t="s">
        <v>102</v>
      </c>
      <c r="C12" s="26" t="s">
        <v>103</v>
      </c>
      <c r="D12" s="26" t="s">
        <v>94</v>
      </c>
      <c r="E12" s="26" t="n">
        <v>10</v>
      </c>
      <c r="F12" s="27" t="n">
        <v>16</v>
      </c>
      <c r="G12" s="28" t="n">
        <v>0.08</v>
      </c>
      <c r="H12" s="28" t="n">
        <v>0.92</v>
      </c>
      <c r="I12" s="26" t="n">
        <v>25</v>
      </c>
      <c r="J12" s="26" t="n">
        <v>10</v>
      </c>
      <c r="K12" s="29" t="n">
        <f aca="false">IFERROR(F12/E12/H12,0)</f>
        <v>1.73913043478261</v>
      </c>
      <c r="L12" s="29" t="n">
        <f aca="false">IF(D12="kg",K12/1000,IF(D12="g",K12,""))</f>
        <v>0.00173913043478261</v>
      </c>
      <c r="M12" s="29" t="str">
        <f aca="false">IF(D12="piece",K12,"")</f>
        <v/>
      </c>
      <c r="N12" s="29" t="str">
        <f aca="false">IF(D12="l",K12,"")</f>
        <v/>
      </c>
      <c r="O12" s="30" t="n">
        <v>46220</v>
      </c>
      <c r="P12" s="26"/>
    </row>
    <row r="13" customFormat="false" ht="15" hidden="false" customHeight="false" outlineLevel="0" collapsed="false">
      <c r="A13" s="26" t="s">
        <v>109</v>
      </c>
      <c r="B13" s="26" t="s">
        <v>99</v>
      </c>
      <c r="C13" s="26" t="s">
        <v>106</v>
      </c>
      <c r="D13" s="26" t="s">
        <v>94</v>
      </c>
      <c r="E13" s="26" t="n">
        <v>5</v>
      </c>
      <c r="F13" s="27" t="n">
        <v>4.2</v>
      </c>
      <c r="G13" s="28" t="n">
        <v>0.15</v>
      </c>
      <c r="H13" s="28" t="n">
        <v>0.85</v>
      </c>
      <c r="I13" s="26" t="n">
        <v>10</v>
      </c>
      <c r="J13" s="26" t="n">
        <v>4</v>
      </c>
      <c r="K13" s="29" t="n">
        <f aca="false">IFERROR(F13/E13/H13,0)</f>
        <v>0.988235294117647</v>
      </c>
      <c r="L13" s="29" t="n">
        <f aca="false">IF(D13="kg",K13/1000,IF(D13="g",K13,""))</f>
        <v>0.000988235294117647</v>
      </c>
      <c r="M13" s="29" t="str">
        <f aca="false">IF(D13="piece",K13,"")</f>
        <v/>
      </c>
      <c r="N13" s="29" t="str">
        <f aca="false">IF(D13="l",K13,"")</f>
        <v/>
      </c>
      <c r="O13" s="30" t="n">
        <v>46219</v>
      </c>
      <c r="P13" s="26"/>
    </row>
    <row r="14" customFormat="false" ht="15" hidden="false" customHeight="false" outlineLevel="0" collapsed="false">
      <c r="A14" s="26" t="s">
        <v>110</v>
      </c>
      <c r="B14" s="26" t="s">
        <v>111</v>
      </c>
      <c r="C14" s="26" t="s">
        <v>112</v>
      </c>
      <c r="D14" s="26" t="s">
        <v>113</v>
      </c>
      <c r="E14" s="26" t="n">
        <v>1</v>
      </c>
      <c r="F14" s="27" t="n">
        <v>0.45</v>
      </c>
      <c r="G14" s="28" t="n">
        <v>0.02</v>
      </c>
      <c r="H14" s="28" t="n">
        <v>0.98</v>
      </c>
      <c r="I14" s="26" t="n">
        <v>300</v>
      </c>
      <c r="J14" s="26" t="n">
        <v>100</v>
      </c>
      <c r="K14" s="29" t="n">
        <f aca="false">IFERROR(F14/E14/H14,0)</f>
        <v>0.459183673469388</v>
      </c>
      <c r="L14" s="29" t="str">
        <f aca="false">IF(D14="kg",K14/1000,IF(D14="g",K14,""))</f>
        <v/>
      </c>
      <c r="M14" s="29" t="n">
        <f aca="false">IF(D14="piece",K14,"")</f>
        <v>0.459183673469388</v>
      </c>
      <c r="N14" s="29" t="str">
        <f aca="false">IF(D14="l",K14,"")</f>
        <v/>
      </c>
      <c r="O14" s="30" t="n">
        <v>46218</v>
      </c>
      <c r="P14" s="26"/>
    </row>
    <row r="15" customFormat="false" ht="15" hidden="false" customHeight="false" outlineLevel="0" collapsed="false">
      <c r="A15" s="26" t="s">
        <v>114</v>
      </c>
      <c r="B15" s="26" t="s">
        <v>96</v>
      </c>
      <c r="C15" s="26" t="s">
        <v>97</v>
      </c>
      <c r="D15" s="26" t="s">
        <v>94</v>
      </c>
      <c r="E15" s="26" t="n">
        <v>2</v>
      </c>
      <c r="F15" s="27" t="n">
        <v>42</v>
      </c>
      <c r="G15" s="28" t="n">
        <v>0.02</v>
      </c>
      <c r="H15" s="28" t="n">
        <v>0.98</v>
      </c>
      <c r="I15" s="26" t="n">
        <v>6</v>
      </c>
      <c r="J15" s="26" t="n">
        <v>2</v>
      </c>
      <c r="K15" s="29" t="n">
        <f aca="false">IFERROR(F15/E15/H15,0)</f>
        <v>21.4285714285714</v>
      </c>
      <c r="L15" s="29" t="n">
        <f aca="false">IF(D15="kg",K15/1000,IF(D15="g",K15,""))</f>
        <v>0.0214285714285714</v>
      </c>
      <c r="M15" s="29" t="str">
        <f aca="false">IF(D15="piece",K15,"")</f>
        <v/>
      </c>
      <c r="N15" s="29" t="str">
        <f aca="false">IF(D15="l",K15,"")</f>
        <v/>
      </c>
      <c r="O15" s="30" t="n">
        <v>46217</v>
      </c>
      <c r="P15" s="26"/>
    </row>
    <row r="16" customFormat="false" ht="15" hidden="false" customHeight="false" outlineLevel="0" collapsed="false">
      <c r="A16" s="26" t="s">
        <v>115</v>
      </c>
      <c r="B16" s="26" t="s">
        <v>116</v>
      </c>
      <c r="C16" s="26" t="s">
        <v>117</v>
      </c>
      <c r="D16" s="26" t="s">
        <v>100</v>
      </c>
      <c r="E16" s="26" t="n">
        <v>4</v>
      </c>
      <c r="F16" s="27" t="n">
        <v>6</v>
      </c>
      <c r="G16" s="28" t="n">
        <v>0</v>
      </c>
      <c r="H16" s="28" t="n">
        <v>1</v>
      </c>
      <c r="I16" s="26" t="n">
        <v>30</v>
      </c>
      <c r="J16" s="26" t="n">
        <v>10</v>
      </c>
      <c r="K16" s="29" t="n">
        <f aca="false">IFERROR(F16/E16/H16,0)</f>
        <v>1.5</v>
      </c>
      <c r="L16" s="29" t="str">
        <f aca="false">IF(D16="kg",K16/1000,IF(D16="g",K16,""))</f>
        <v/>
      </c>
      <c r="M16" s="29" t="str">
        <f aca="false">IF(D16="piece",K16,"")</f>
        <v/>
      </c>
      <c r="N16" s="29" t="n">
        <f aca="false">IF(D16="l",K16,"")</f>
        <v>1.5</v>
      </c>
      <c r="O16" s="30" t="n">
        <v>46216</v>
      </c>
      <c r="P16" s="26"/>
    </row>
  </sheetData>
  <mergeCells count="2">
    <mergeCell ref="A1:P1"/>
    <mergeCell ref="A2:P2"/>
  </mergeCells>
  <conditionalFormatting sqref="I5:I16">
    <cfRule type="expression" priority="2" aboveAverage="0" equalAverage="0" bottom="0" percent="0" rank="0" text="" dxfId="0">
      <formula>I5&lt;J5</formula>
    </cfRule>
  </conditionalFormatting>
  <dataValidations count="2">
    <dataValidation allowBlank="false" errorStyle="stop" operator="between" showDropDown="false" showErrorMessage="false" showInputMessage="false" sqref="D5:D200" type="list">
      <formula1>"kg,g,l,piece"</formula1>
      <formula2>0</formula2>
    </dataValidation>
    <dataValidation allowBlank="true" errorStyle="stop" operator="between" showDropDown="false" showErrorMessage="false" showInputMessage="false" sqref="B5:B200" type="list">
      <formula1>"خشکبار,لبنیات,سبزیجات و میوه,گوشت,نانوایی,نوشیدنی,سایر"</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6"/>
    <col collapsed="false" customWidth="true" hidden="false" outlineLevel="0" max="4" min="4" style="0" width="10"/>
    <col collapsed="false" customWidth="true" hidden="false" outlineLevel="0" max="5" min="5" style="0" width="8"/>
    <col collapsed="false" customWidth="true" hidden="false" outlineLevel="0" max="6" min="6" style="0" width="13"/>
    <col collapsed="false" customWidth="true" hidden="false" outlineLevel="0" max="7" min="7" style="0" width="15"/>
    <col collapsed="false" customWidth="true" hidden="false" outlineLevel="0" max="8" min="8" style="0" width="20"/>
  </cols>
  <sheetData>
    <row r="1" customFormat="false" ht="25.5" hidden="false" customHeight="true" outlineLevel="0" collapsed="false">
      <c r="A1" s="1" t="s">
        <v>27</v>
      </c>
      <c r="B1" s="1"/>
      <c r="C1" s="1"/>
      <c r="D1" s="1"/>
      <c r="E1" s="1"/>
      <c r="F1" s="1"/>
      <c r="G1" s="1"/>
      <c r="H1" s="1"/>
    </row>
    <row r="2" customFormat="false" ht="18" hidden="false" customHeight="true" outlineLevel="0" collapsed="false">
      <c r="A2" s="2" t="s">
        <v>118</v>
      </c>
      <c r="B2" s="2"/>
      <c r="C2" s="2"/>
      <c r="D2" s="2"/>
      <c r="E2" s="2"/>
      <c r="F2" s="2"/>
      <c r="G2" s="2"/>
      <c r="H2" s="2"/>
    </row>
    <row r="4" customFormat="false" ht="30" hidden="false" customHeight="true" outlineLevel="0" collapsed="false">
      <c r="A4" s="25" t="s">
        <v>119</v>
      </c>
      <c r="B4" s="25" t="s">
        <v>76</v>
      </c>
      <c r="C4" s="25" t="s">
        <v>75</v>
      </c>
      <c r="D4" s="25" t="s">
        <v>44</v>
      </c>
      <c r="E4" s="25" t="s">
        <v>120</v>
      </c>
      <c r="F4" s="25" t="s">
        <v>121</v>
      </c>
      <c r="G4" s="25" t="s">
        <v>122</v>
      </c>
      <c r="H4" s="25" t="s">
        <v>123</v>
      </c>
    </row>
    <row r="5" customFormat="false" ht="15" hidden="false" customHeight="false" outlineLevel="0" collapsed="false">
      <c r="A5" s="26" t="s">
        <v>124</v>
      </c>
      <c r="B5" s="26" t="s">
        <v>125</v>
      </c>
      <c r="C5" s="26" t="s">
        <v>91</v>
      </c>
      <c r="D5" s="26" t="n">
        <v>250</v>
      </c>
      <c r="E5" s="26" t="s">
        <v>126</v>
      </c>
      <c r="F5" s="31" t="n">
        <f aca="false">IFERROR($D5*IF($E5="g",INDEX('بانک اطلاعات مواد اولیه'!$L$5:$L$16,MATCH($C5,'بانک اطلاعات مواد اولیه'!$A$5:$A$16,0)),IF($E5="piece",INDEX('بانک اطلاعات مواد اولیه'!$M$5:$M$16,MATCH($C5,'بانک اطلاعات مواد اولیه'!$A$5:$A$16,0)),IF($E5="l",INDEX('بانک اطلاعات مواد اولیه'!$N$5:$N$16,MATCH($C5,'بانک اطلاعات مواد اولیه'!$A$5:$A$16,0)),0))),0)</f>
        <v>0.331632653061225</v>
      </c>
      <c r="G5" s="32" t="n">
        <f aca="false">IF($E5="g",$D5,"")</f>
        <v>250</v>
      </c>
      <c r="H5" s="26"/>
    </row>
    <row r="6" customFormat="false" ht="15" hidden="false" customHeight="false" outlineLevel="0" collapsed="false">
      <c r="A6" s="26" t="s">
        <v>124</v>
      </c>
      <c r="B6" s="26" t="s">
        <v>125</v>
      </c>
      <c r="C6" s="26" t="s">
        <v>95</v>
      </c>
      <c r="D6" s="26" t="n">
        <v>120</v>
      </c>
      <c r="E6" s="26" t="s">
        <v>126</v>
      </c>
      <c r="F6" s="31" t="n">
        <f aca="false">IFERROR($D6*IF($E6="g",INDEX('بانک اطلاعات مواد اولیه'!$L$5:$L$16,MATCH($C6,'بانک اطلاعات مواد اولیه'!$A$5:$A$16,0)),IF($E6="piece",INDEX('بانک اطلاعات مواد اولیه'!$M$5:$M$16,MATCH($C6,'بانک اطلاعات مواد اولیه'!$A$5:$A$16,0)),IF($E6="l",INDEX('بانک اطلاعات مواد اولیه'!$N$5:$N$16,MATCH($C6,'بانک اطلاعات مواد اولیه'!$A$5:$A$16,0)),0))),0)</f>
        <v>0.94020618556701</v>
      </c>
      <c r="G6" s="32" t="n">
        <f aca="false">IF($E6="g",$D6,"")</f>
        <v>120</v>
      </c>
      <c r="H6" s="26"/>
    </row>
    <row r="7" customFormat="false" ht="15" hidden="false" customHeight="false" outlineLevel="0" collapsed="false">
      <c r="A7" s="26" t="s">
        <v>124</v>
      </c>
      <c r="B7" s="26" t="s">
        <v>125</v>
      </c>
      <c r="C7" s="26" t="s">
        <v>98</v>
      </c>
      <c r="D7" s="26" t="n">
        <v>0.1</v>
      </c>
      <c r="E7" s="26" t="s">
        <v>100</v>
      </c>
      <c r="F7" s="31" t="n">
        <f aca="false">IFERROR($D7*IF($E7="g",INDEX('بانک اطلاعات مواد اولیه'!$L$5:$L$16,MATCH($C7,'بانک اطلاعات مواد اولیه'!$A$5:$A$16,0)),IF($E7="piece",INDEX('بانک اطلاعات مواد اولیه'!$M$5:$M$16,MATCH($C7,'بانک اطلاعات مواد اولیه'!$A$5:$A$16,0)),IF($E7="l",INDEX('بانک اطلاعات مواد اولیه'!$N$5:$N$16,MATCH($C7,'بانک اطلاعات مواد اولیه'!$A$5:$A$16,0)),0))),0)</f>
        <v>0.141414141414141</v>
      </c>
      <c r="G7" s="32" t="str">
        <f aca="false">IF($E7="g",$D7,"")</f>
        <v/>
      </c>
      <c r="H7" s="26"/>
    </row>
    <row r="8" customFormat="false" ht="15" hidden="false" customHeight="false" outlineLevel="0" collapsed="false">
      <c r="A8" s="26" t="s">
        <v>124</v>
      </c>
      <c r="B8" s="26" t="s">
        <v>125</v>
      </c>
      <c r="C8" s="26" t="s">
        <v>105</v>
      </c>
      <c r="D8" s="26" t="n">
        <v>5</v>
      </c>
      <c r="E8" s="26" t="s">
        <v>126</v>
      </c>
      <c r="F8" s="31" t="n">
        <f aca="false">IFERROR($D8*IF($E8="g",INDEX('بانک اطلاعات مواد اولیه'!$L$5:$L$16,MATCH($C8,'بانک اطلاعات مواد اولیه'!$A$5:$A$16,0)),IF($E8="piece",INDEX('بانک اطلاعات مواد اولیه'!$M$5:$M$16,MATCH($C8,'بانک اطلاعات مواد اولیه'!$A$5:$A$16,0)),IF($E8="l",INDEX('بانک اطلاعات مواد اولیه'!$N$5:$N$16,MATCH($C8,'بانک اطلاعات مواد اولیه'!$A$5:$A$16,0)),0))),0)</f>
        <v>0.1</v>
      </c>
      <c r="G8" s="32" t="n">
        <f aca="false">IF($E8="g",$D8,"")</f>
        <v>5</v>
      </c>
      <c r="H8" s="26"/>
    </row>
    <row r="9" customFormat="false" ht="15" hidden="false" customHeight="false" outlineLevel="0" collapsed="false">
      <c r="A9" s="26" t="s">
        <v>124</v>
      </c>
      <c r="B9" s="26" t="s">
        <v>125</v>
      </c>
      <c r="C9" s="26" t="s">
        <v>104</v>
      </c>
      <c r="D9" s="26" t="n">
        <v>0.01</v>
      </c>
      <c r="E9" s="26" t="s">
        <v>100</v>
      </c>
      <c r="F9" s="31" t="n">
        <f aca="false">IFERROR($D9*IF($E9="g",INDEX('بانک اطلاعات مواد اولیه'!$L$5:$L$16,MATCH($C9,'بانک اطلاعات مواد اولیه'!$A$5:$A$16,0)),IF($E9="piece",INDEX('بانک اطلاعات مواد اولیه'!$M$5:$M$16,MATCH($C9,'بانک اطلاعات مواد اولیه'!$A$5:$A$16,0)),IF($E9="l",INDEX('بانک اطلاعات مواد اولیه'!$N$5:$N$16,MATCH($C9,'بانک اطلاعات مواد اولیه'!$A$5:$A$16,0)),0))),0)</f>
        <v>0.048</v>
      </c>
      <c r="G9" s="32" t="str">
        <f aca="false">IF($E9="g",$D9,"")</f>
        <v/>
      </c>
      <c r="H9" s="26" t="s">
        <v>127</v>
      </c>
    </row>
    <row r="10" customFormat="false" ht="15" hidden="false" customHeight="false" outlineLevel="0" collapsed="false">
      <c r="A10" s="26" t="s">
        <v>128</v>
      </c>
      <c r="B10" s="26" t="s">
        <v>125</v>
      </c>
      <c r="C10" s="26" t="s">
        <v>91</v>
      </c>
      <c r="D10" s="26" t="n">
        <v>250</v>
      </c>
      <c r="E10" s="26" t="s">
        <v>126</v>
      </c>
      <c r="F10" s="31" t="n">
        <f aca="false">IFERROR($D10*IF($E10="g",INDEX('بانک اطلاعات مواد اولیه'!$L$5:$L$16,MATCH($C10,'بانک اطلاعات مواد اولیه'!$A$5:$A$16,0)),IF($E10="piece",INDEX('بانک اطلاعات مواد اولیه'!$M$5:$M$16,MATCH($C10,'بانک اطلاعات مواد اولیه'!$A$5:$A$16,0)),IF($E10="l",INDEX('بانک اطلاعات مواد اولیه'!$N$5:$N$16,MATCH($C10,'بانک اطلاعات مواد اولیه'!$A$5:$A$16,0)),0))),0)</f>
        <v>0.331632653061225</v>
      </c>
      <c r="G10" s="32" t="n">
        <f aca="false">IF($E10="g",$D10,"")</f>
        <v>250</v>
      </c>
      <c r="H10" s="26"/>
    </row>
    <row r="11" customFormat="false" ht="15" hidden="false" customHeight="false" outlineLevel="0" collapsed="false">
      <c r="A11" s="26" t="s">
        <v>128</v>
      </c>
      <c r="B11" s="26" t="s">
        <v>125</v>
      </c>
      <c r="C11" s="26" t="s">
        <v>95</v>
      </c>
      <c r="D11" s="26" t="n">
        <v>130</v>
      </c>
      <c r="E11" s="26" t="s">
        <v>126</v>
      </c>
      <c r="F11" s="31" t="n">
        <f aca="false">IFERROR($D11*IF($E11="g",INDEX('بانک اطلاعات مواد اولیه'!$L$5:$L$16,MATCH($C11,'بانک اطلاعات مواد اولیه'!$A$5:$A$16,0)),IF($E11="piece",INDEX('بانک اطلاعات مواد اولیه'!$M$5:$M$16,MATCH($C11,'بانک اطلاعات مواد اولیه'!$A$5:$A$16,0)),IF($E11="l",INDEX('بانک اطلاعات مواد اولیه'!$N$5:$N$16,MATCH($C11,'بانک اطلاعات مواد اولیه'!$A$5:$A$16,0)),0))),0)</f>
        <v>1.01855670103093</v>
      </c>
      <c r="G11" s="32" t="n">
        <f aca="false">IF($E11="g",$D11,"")</f>
        <v>130</v>
      </c>
      <c r="H11" s="26"/>
    </row>
    <row r="12" customFormat="false" ht="15" hidden="false" customHeight="false" outlineLevel="0" collapsed="false">
      <c r="A12" s="26" t="s">
        <v>128</v>
      </c>
      <c r="B12" s="26" t="s">
        <v>125</v>
      </c>
      <c r="C12" s="26" t="s">
        <v>98</v>
      </c>
      <c r="D12" s="26" t="n">
        <v>0.1</v>
      </c>
      <c r="E12" s="26" t="s">
        <v>100</v>
      </c>
      <c r="F12" s="31" t="n">
        <f aca="false">IFERROR($D12*IF($E12="g",INDEX('بانک اطلاعات مواد اولیه'!$L$5:$L$16,MATCH($C12,'بانک اطلاعات مواد اولیه'!$A$5:$A$16,0)),IF($E12="piece",INDEX('بانک اطلاعات مواد اولیه'!$M$5:$M$16,MATCH($C12,'بانک اطلاعات مواد اولیه'!$A$5:$A$16,0)),IF($E12="l",INDEX('بانک اطلاعات مواد اولیه'!$N$5:$N$16,MATCH($C12,'بانک اطلاعات مواد اولیه'!$A$5:$A$16,0)),0))),0)</f>
        <v>0.141414141414141</v>
      </c>
      <c r="G12" s="32" t="str">
        <f aca="false">IF($E12="g",$D12,"")</f>
        <v/>
      </c>
      <c r="H12" s="26"/>
    </row>
    <row r="13" customFormat="false" ht="15" hidden="false" customHeight="false" outlineLevel="0" collapsed="false">
      <c r="A13" s="26" t="s">
        <v>128</v>
      </c>
      <c r="B13" s="26" t="s">
        <v>125</v>
      </c>
      <c r="C13" s="26" t="s">
        <v>101</v>
      </c>
      <c r="D13" s="26" t="n">
        <v>60</v>
      </c>
      <c r="E13" s="26" t="s">
        <v>126</v>
      </c>
      <c r="F13" s="31" t="n">
        <f aca="false">IFERROR($D13*IF($E13="g",INDEX('بانک اطلاعات مواد اولیه'!$L$5:$L$16,MATCH($C13,'بانک اطلاعات مواد اولیه'!$A$5:$A$16,0)),IF($E13="piece",INDEX('بانک اطلاعات مواد اولیه'!$M$5:$M$16,MATCH($C13,'بانک اطلاعات مواد اولیه'!$A$5:$A$16,0)),IF($E13="l",INDEX('بانک اطلاعات مواد اولیه'!$N$5:$N$16,MATCH($C13,'بانک اطلاعات مواد اولیه'!$A$5:$A$16,0)),0))),0)</f>
        <v>0.473684210526316</v>
      </c>
      <c r="G13" s="32" t="n">
        <f aca="false">IF($E13="g",$D13,"")</f>
        <v>60</v>
      </c>
      <c r="H13" s="26" t="s">
        <v>129</v>
      </c>
    </row>
    <row r="14" customFormat="false" ht="15" hidden="false" customHeight="false" outlineLevel="0" collapsed="false">
      <c r="A14" s="26" t="s">
        <v>130</v>
      </c>
      <c r="B14" s="26" t="s">
        <v>131</v>
      </c>
      <c r="C14" s="26" t="s">
        <v>109</v>
      </c>
      <c r="D14" s="26" t="n">
        <v>150</v>
      </c>
      <c r="E14" s="26" t="s">
        <v>126</v>
      </c>
      <c r="F14" s="31" t="n">
        <f aca="false">IFERROR($D14*IF($E14="g",INDEX('بانک اطلاعات مواد اولیه'!$L$5:$L$16,MATCH($C14,'بانک اطلاعات مواد اولیه'!$A$5:$A$16,0)),IF($E14="piece",INDEX('بانک اطلاعات مواد اولیه'!$M$5:$M$16,MATCH($C14,'بانک اطلاعات مواد اولیه'!$A$5:$A$16,0)),IF($E14="l",INDEX('بانک اطلاعات مواد اولیه'!$N$5:$N$16,MATCH($C14,'بانک اطلاعات مواد اولیه'!$A$5:$A$16,0)),0))),0)</f>
        <v>0.148235294117647</v>
      </c>
      <c r="G14" s="32" t="n">
        <f aca="false">IF($E14="g",$D14,"")</f>
        <v>150</v>
      </c>
      <c r="H14" s="26"/>
    </row>
    <row r="15" customFormat="false" ht="15" hidden="false" customHeight="false" outlineLevel="0" collapsed="false">
      <c r="A15" s="26" t="s">
        <v>130</v>
      </c>
      <c r="B15" s="26" t="s">
        <v>131</v>
      </c>
      <c r="C15" s="26" t="s">
        <v>114</v>
      </c>
      <c r="D15" s="26" t="n">
        <v>20</v>
      </c>
      <c r="E15" s="26" t="s">
        <v>126</v>
      </c>
      <c r="F15" s="31" t="n">
        <f aca="false">IFERROR($D15*IF($E15="g",INDEX('بانک اطلاعات مواد اولیه'!$L$5:$L$16,MATCH($C15,'بانک اطلاعات مواد اولیه'!$A$5:$A$16,0)),IF($E15="piece",INDEX('بانک اطلاعات مواد اولیه'!$M$5:$M$16,MATCH($C15,'بانک اطلاعات مواد اولیه'!$A$5:$A$16,0)),IF($E15="l",INDEX('بانک اطلاعات مواد اولیه'!$N$5:$N$16,MATCH($C15,'بانک اطلاعات مواد اولیه'!$A$5:$A$16,0)),0))),0)</f>
        <v>0.428571428571429</v>
      </c>
      <c r="G15" s="32" t="n">
        <f aca="false">IF($E15="g",$D15,"")</f>
        <v>20</v>
      </c>
      <c r="H15" s="26"/>
    </row>
    <row r="16" customFormat="false" ht="15" hidden="false" customHeight="false" outlineLevel="0" collapsed="false">
      <c r="A16" s="26" t="s">
        <v>130</v>
      </c>
      <c r="B16" s="26" t="s">
        <v>131</v>
      </c>
      <c r="C16" s="26" t="s">
        <v>108</v>
      </c>
      <c r="D16" s="26" t="n">
        <v>100</v>
      </c>
      <c r="E16" s="26" t="s">
        <v>126</v>
      </c>
      <c r="F16" s="31" t="n">
        <f aca="false">IFERROR($D16*IF($E16="g",INDEX('بانک اطلاعات مواد اولیه'!$L$5:$L$16,MATCH($C16,'بانک اطلاعات مواد اولیه'!$A$5:$A$16,0)),IF($E16="piece",INDEX('بانک اطلاعات مواد اولیه'!$M$5:$M$16,MATCH($C16,'بانک اطلاعات مواد اولیه'!$A$5:$A$16,0)),IF($E16="l",INDEX('بانک اطلاعات مواد اولیه'!$N$5:$N$16,MATCH($C16,'بانک اطلاعات مواد اولیه'!$A$5:$A$16,0)),0))),0)</f>
        <v>0.173913043478261</v>
      </c>
      <c r="G16" s="32" t="n">
        <f aca="false">IF($E16="g",$D16,"")</f>
        <v>100</v>
      </c>
      <c r="H16" s="26"/>
    </row>
    <row r="17" customFormat="false" ht="15" hidden="false" customHeight="false" outlineLevel="0" collapsed="false">
      <c r="A17" s="26" t="s">
        <v>130</v>
      </c>
      <c r="B17" s="26" t="s">
        <v>131</v>
      </c>
      <c r="C17" s="26" t="s">
        <v>104</v>
      </c>
      <c r="D17" s="26" t="n">
        <v>0.02</v>
      </c>
      <c r="E17" s="26" t="s">
        <v>100</v>
      </c>
      <c r="F17" s="31" t="n">
        <f aca="false">IFERROR($D17*IF($E17="g",INDEX('بانک اطلاعات مواد اولیه'!$L$5:$L$16,MATCH($C17,'بانک اطلاعات مواد اولیه'!$A$5:$A$16,0)),IF($E17="piece",INDEX('بانک اطلاعات مواد اولیه'!$M$5:$M$16,MATCH($C17,'بانک اطلاعات مواد اولیه'!$A$5:$A$16,0)),IF($E17="l",INDEX('بانک اطلاعات مواد اولیه'!$N$5:$N$16,MATCH($C17,'بانک اطلاعات مواد اولیه'!$A$5:$A$16,0)),0))),0)</f>
        <v>0.096</v>
      </c>
      <c r="G17" s="32" t="str">
        <f aca="false">IF($E17="g",$D17,"")</f>
        <v/>
      </c>
      <c r="H17" s="26" t="s">
        <v>132</v>
      </c>
    </row>
    <row r="18" customFormat="false" ht="15" hidden="false" customHeight="false" outlineLevel="0" collapsed="false">
      <c r="A18" s="26" t="s">
        <v>133</v>
      </c>
      <c r="B18" s="26" t="s">
        <v>134</v>
      </c>
      <c r="C18" s="26" t="s">
        <v>110</v>
      </c>
      <c r="D18" s="26" t="n">
        <v>1</v>
      </c>
      <c r="E18" s="26" t="s">
        <v>113</v>
      </c>
      <c r="F18" s="31" t="n">
        <f aca="false">IFERROR($D18*IF($E18="g",INDEX('بانک اطلاعات مواد اولیه'!$L$5:$L$16,MATCH($C18,'بانک اطلاعات مواد اولیه'!$A$5:$A$16,0)),IF($E18="piece",INDEX('بانک اطلاعات مواد اولیه'!$M$5:$M$16,MATCH($C18,'بانک اطلاعات مواد اولیه'!$A$5:$A$16,0)),IF($E18="l",INDEX('بانک اطلاعات مواد اولیه'!$N$5:$N$16,MATCH($C18,'بانک اطلاعات مواد اولیه'!$A$5:$A$16,0)),0))),0)</f>
        <v>0.459183673469388</v>
      </c>
      <c r="G18" s="32" t="str">
        <f aca="false">IF($E18="g",$D18,"")</f>
        <v/>
      </c>
      <c r="H18" s="26"/>
    </row>
    <row r="19" customFormat="false" ht="15" hidden="false" customHeight="false" outlineLevel="0" collapsed="false">
      <c r="A19" s="26" t="s">
        <v>133</v>
      </c>
      <c r="B19" s="26" t="s">
        <v>134</v>
      </c>
      <c r="C19" s="26" t="s">
        <v>108</v>
      </c>
      <c r="D19" s="26" t="n">
        <v>150</v>
      </c>
      <c r="E19" s="26" t="s">
        <v>126</v>
      </c>
      <c r="F19" s="31" t="n">
        <f aca="false">IFERROR($D19*IF($E19="g",INDEX('بانک اطلاعات مواد اولیه'!$L$5:$L$16,MATCH($C19,'بانک اطلاعات مواد اولیه'!$A$5:$A$16,0)),IF($E19="piece",INDEX('بانک اطلاعات مواد اولیه'!$M$5:$M$16,MATCH($C19,'بانک اطلاعات مواد اولیه'!$A$5:$A$16,0)),IF($E19="l",INDEX('بانک اطلاعات مواد اولیه'!$N$5:$N$16,MATCH($C19,'بانک اطلاعات مواد اولیه'!$A$5:$A$16,0)),0))),0)</f>
        <v>0.260869565217391</v>
      </c>
      <c r="G19" s="32" t="n">
        <f aca="false">IF($E19="g",$D19,"")</f>
        <v>150</v>
      </c>
      <c r="H19" s="26"/>
    </row>
    <row r="20" customFormat="false" ht="15" hidden="false" customHeight="false" outlineLevel="0" collapsed="false">
      <c r="A20" s="26" t="s">
        <v>133</v>
      </c>
      <c r="B20" s="26" t="s">
        <v>134</v>
      </c>
      <c r="C20" s="26" t="s">
        <v>109</v>
      </c>
      <c r="D20" s="26" t="n">
        <v>20</v>
      </c>
      <c r="E20" s="26" t="s">
        <v>126</v>
      </c>
      <c r="F20" s="31" t="n">
        <f aca="false">IFERROR($D20*IF($E20="g",INDEX('بانک اطلاعات مواد اولیه'!$L$5:$L$16,MATCH($C20,'بانک اطلاعات مواد اولیه'!$A$5:$A$16,0)),IF($E20="piece",INDEX('بانک اطلاعات مواد اولیه'!$M$5:$M$16,MATCH($C20,'بانک اطلاعات مواد اولیه'!$A$5:$A$16,0)),IF($E20="l",INDEX('بانک اطلاعات مواد اولیه'!$N$5:$N$16,MATCH($C20,'بانک اطلاعات مواد اولیه'!$A$5:$A$16,0)),0))),0)</f>
        <v>0.0197647058823529</v>
      </c>
      <c r="G20" s="32" t="n">
        <f aca="false">IF($E20="g",$D20,"")</f>
        <v>20</v>
      </c>
      <c r="H20" s="26"/>
    </row>
    <row r="21" customFormat="false" ht="15" hidden="false" customHeight="false" outlineLevel="0" collapsed="false">
      <c r="A21" s="26" t="s">
        <v>135</v>
      </c>
      <c r="B21" s="26" t="s">
        <v>136</v>
      </c>
      <c r="C21" s="26" t="s">
        <v>91</v>
      </c>
      <c r="D21" s="26" t="n">
        <v>150</v>
      </c>
      <c r="E21" s="26" t="s">
        <v>126</v>
      </c>
      <c r="F21" s="31" t="n">
        <f aca="false">IFERROR($D21*IF($E21="g",INDEX('بانک اطلاعات مواد اولیه'!$L$5:$L$16,MATCH($C21,'بانک اطلاعات مواد اولیه'!$A$5:$A$16,0)),IF($E21="piece",INDEX('بانک اطلاعات مواد اولیه'!$M$5:$M$16,MATCH($C21,'بانک اطلاعات مواد اولیه'!$A$5:$A$16,0)),IF($E21="l",INDEX('بانک اطلاعات مواد اولیه'!$N$5:$N$16,MATCH($C21,'بانک اطلاعات مواد اولیه'!$A$5:$A$16,0)),0))),0)</f>
        <v>0.198979591836735</v>
      </c>
      <c r="G21" s="32" t="n">
        <f aca="false">IF($E21="g",$D21,"")</f>
        <v>150</v>
      </c>
      <c r="H21" s="26"/>
    </row>
    <row r="22" customFormat="false" ht="15" hidden="false" customHeight="false" outlineLevel="0" collapsed="false">
      <c r="A22" s="26" t="s">
        <v>135</v>
      </c>
      <c r="B22" s="26" t="s">
        <v>136</v>
      </c>
      <c r="C22" s="26" t="s">
        <v>104</v>
      </c>
      <c r="D22" s="26" t="n">
        <v>0.02</v>
      </c>
      <c r="E22" s="26" t="s">
        <v>100</v>
      </c>
      <c r="F22" s="31" t="n">
        <f aca="false">IFERROR($D22*IF($E22="g",INDEX('بانک اطلاعات مواد اولیه'!$L$5:$L$16,MATCH($C22,'بانک اطلاعات مواد اولیه'!$A$5:$A$16,0)),IF($E22="piece",INDEX('بانک اطلاعات مواد اولیه'!$M$5:$M$16,MATCH($C22,'بانک اطلاعات مواد اولیه'!$A$5:$A$16,0)),IF($E22="l",INDEX('بانک اطلاعات مواد اولیه'!$N$5:$N$16,MATCH($C22,'بانک اطلاعات مواد اولیه'!$A$5:$A$16,0)),0))),0)</f>
        <v>0.096</v>
      </c>
      <c r="G22" s="32" t="str">
        <f aca="false">IF($E22="g",$D22,"")</f>
        <v/>
      </c>
      <c r="H22" s="26"/>
    </row>
    <row r="23" customFormat="false" ht="15" hidden="false" customHeight="false" outlineLevel="0" collapsed="false">
      <c r="A23" s="26" t="s">
        <v>135</v>
      </c>
      <c r="B23" s="26" t="s">
        <v>136</v>
      </c>
      <c r="C23" s="26" t="s">
        <v>114</v>
      </c>
      <c r="D23" s="26" t="n">
        <v>10</v>
      </c>
      <c r="E23" s="26" t="s">
        <v>126</v>
      </c>
      <c r="F23" s="31" t="n">
        <f aca="false">IFERROR($D23*IF($E23="g",INDEX('بانک اطلاعات مواد اولیه'!$L$5:$L$16,MATCH($C23,'بانک اطلاعات مواد اولیه'!$A$5:$A$16,0)),IF($E23="piece",INDEX('بانک اطلاعات مواد اولیه'!$M$5:$M$16,MATCH($C23,'بانک اطلاعات مواد اولیه'!$A$5:$A$16,0)),IF($E23="l",INDEX('بانک اطلاعات مواد اولیه'!$N$5:$N$16,MATCH($C23,'بانک اطلاعات مواد اولیه'!$A$5:$A$16,0)),0))),0)</f>
        <v>0.214285714285714</v>
      </c>
      <c r="G23" s="32" t="n">
        <f aca="false">IF($E23="g",$D23,"")</f>
        <v>10</v>
      </c>
      <c r="H23" s="26"/>
    </row>
    <row r="24" customFormat="false" ht="15" hidden="false" customHeight="false" outlineLevel="0" collapsed="false">
      <c r="A24" s="26" t="s">
        <v>137</v>
      </c>
      <c r="B24" s="26" t="s">
        <v>116</v>
      </c>
      <c r="C24" s="26" t="s">
        <v>115</v>
      </c>
      <c r="D24" s="26" t="n">
        <v>0.2</v>
      </c>
      <c r="E24" s="26" t="s">
        <v>100</v>
      </c>
      <c r="F24" s="31" t="n">
        <f aca="false">IFERROR($D24*IF($E24="g",INDEX('بانک اطلاعات مواد اولیه'!$L$5:$L$16,MATCH($C24,'بانک اطلاعات مواد اولیه'!$A$5:$A$16,0)),IF($E24="piece",INDEX('بانک اطلاعات مواد اولیه'!$M$5:$M$16,MATCH($C24,'بانک اطلاعات مواد اولیه'!$A$5:$A$16,0)),IF($E24="l",INDEX('بانک اطلاعات مواد اولیه'!$N$5:$N$16,MATCH($C24,'بانک اطلاعات مواد اولیه'!$A$5:$A$16,0)),0))),0)</f>
        <v>0.3</v>
      </c>
      <c r="G24" s="32" t="str">
        <f aca="false">IF($E24="g",$D24,"")</f>
        <v/>
      </c>
      <c r="H24" s="26" t="s">
        <v>138</v>
      </c>
    </row>
    <row r="27" customFormat="false" ht="15" hidden="false" customHeight="false" outlineLevel="0" collapsed="false">
      <c r="A27" s="3" t="s">
        <v>139</v>
      </c>
    </row>
    <row r="28" customFormat="false" ht="30" hidden="false" customHeight="true" outlineLevel="0" collapsed="false">
      <c r="A28" s="25" t="s">
        <v>119</v>
      </c>
      <c r="B28" s="25" t="s">
        <v>76</v>
      </c>
      <c r="C28" s="25" t="s">
        <v>140</v>
      </c>
      <c r="D28" s="25" t="s">
        <v>141</v>
      </c>
      <c r="E28" s="25" t="s">
        <v>142</v>
      </c>
      <c r="F28" s="25" t="s">
        <v>123</v>
      </c>
    </row>
    <row r="29" customFormat="false" ht="15" hidden="false" customHeight="false" outlineLevel="0" collapsed="false">
      <c r="A29" s="26" t="s">
        <v>124</v>
      </c>
      <c r="B29" s="26" t="s">
        <v>125</v>
      </c>
      <c r="C29" s="31" t="n">
        <f aca="false">SUMIFS($F$5:$F$24,$A$5:$A$24,A29)</f>
        <v>1.56125298004238</v>
      </c>
      <c r="D29" s="32" t="n">
        <f aca="false">SUMIFS($G$5:$G$24,$A$5:$A$24,A29)</f>
        <v>375</v>
      </c>
      <c r="E29" s="26" t="s">
        <v>143</v>
      </c>
      <c r="F29" s="26"/>
    </row>
    <row r="30" customFormat="false" ht="15" hidden="false" customHeight="false" outlineLevel="0" collapsed="false">
      <c r="A30" s="26" t="s">
        <v>128</v>
      </c>
      <c r="B30" s="26" t="s">
        <v>125</v>
      </c>
      <c r="C30" s="31" t="n">
        <f aca="false">SUMIFS($F$5:$F$24,$A$5:$A$24,A30)</f>
        <v>1.96528770603261</v>
      </c>
      <c r="D30" s="32" t="n">
        <f aca="false">SUMIFS($G$5:$G$24,$A$5:$A$24,A30)</f>
        <v>440</v>
      </c>
      <c r="E30" s="26" t="s">
        <v>143</v>
      </c>
      <c r="F30" s="26"/>
    </row>
    <row r="31" customFormat="false" ht="15" hidden="false" customHeight="false" outlineLevel="0" collapsed="false">
      <c r="A31" s="26" t="s">
        <v>130</v>
      </c>
      <c r="B31" s="26" t="s">
        <v>131</v>
      </c>
      <c r="C31" s="31" t="n">
        <f aca="false">SUMIFS($F$5:$F$24,$A$5:$A$24,A31)</f>
        <v>0.846719766167337</v>
      </c>
      <c r="D31" s="32" t="n">
        <f aca="false">SUMIFS($G$5:$G$24,$A$5:$A$24,A31)</f>
        <v>270</v>
      </c>
      <c r="E31" s="26" t="s">
        <v>144</v>
      </c>
      <c r="F31" s="26"/>
    </row>
    <row r="32" customFormat="false" ht="15" hidden="false" customHeight="false" outlineLevel="0" collapsed="false">
      <c r="A32" s="26" t="s">
        <v>133</v>
      </c>
      <c r="B32" s="26" t="s">
        <v>134</v>
      </c>
      <c r="C32" s="31" t="n">
        <f aca="false">SUMIFS($F$5:$F$24,$A$5:$A$24,A32)</f>
        <v>0.739817944569132</v>
      </c>
      <c r="D32" s="32" t="n">
        <f aca="false">SUMIFS($G$5:$G$24,$A$5:$A$24,A32)</f>
        <v>170</v>
      </c>
      <c r="E32" s="26" t="s">
        <v>145</v>
      </c>
      <c r="F32" s="26"/>
    </row>
    <row r="33" customFormat="false" ht="15" hidden="false" customHeight="false" outlineLevel="0" collapsed="false">
      <c r="A33" s="26" t="s">
        <v>135</v>
      </c>
      <c r="B33" s="26" t="s">
        <v>136</v>
      </c>
      <c r="C33" s="31" t="n">
        <f aca="false">SUMIFS($F$5:$F$24,$A$5:$A$24,A33)</f>
        <v>0.509265306122449</v>
      </c>
      <c r="D33" s="32" t="n">
        <f aca="false">SUMIFS($G$5:$G$24,$A$5:$A$24,A33)</f>
        <v>160</v>
      </c>
      <c r="E33" s="26" t="s">
        <v>146</v>
      </c>
      <c r="F33" s="26"/>
    </row>
    <row r="34" customFormat="false" ht="15" hidden="false" customHeight="false" outlineLevel="0" collapsed="false">
      <c r="A34" s="26" t="s">
        <v>137</v>
      </c>
      <c r="B34" s="26" t="s">
        <v>116</v>
      </c>
      <c r="C34" s="31" t="n">
        <f aca="false">SUMIFS($F$5:$F$24,$A$5:$A$24,A34)</f>
        <v>0.3</v>
      </c>
      <c r="D34" s="32" t="n">
        <f aca="false">SUMIFS($G$5:$G$24,$A$5:$A$24,A34)</f>
        <v>0</v>
      </c>
      <c r="E34" s="26" t="s">
        <v>147</v>
      </c>
      <c r="F34" s="26"/>
    </row>
  </sheetData>
  <mergeCells count="2">
    <mergeCell ref="A1:H1"/>
    <mergeCell ref="A2:H2"/>
  </mergeCells>
  <dataValidations count="2">
    <dataValidation allowBlank="false" errorStyle="stop" operator="between" showDropDown="false" showErrorMessage="false" showInputMessage="false" sqref="E5:E200" type="list">
      <formula1>"g,l,piece"</formula1>
      <formula2>0</formula2>
    </dataValidation>
    <dataValidation allowBlank="true" errorStyle="stop" operator="between" showDropDown="false" showErrorMessage="false" showInputMessage="false" sqref="C5:C200" type="list">
      <formula1>'بانک اطلاعات مواد اولیه'!$A$5:$A$16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4" min="3" style="0" width="8"/>
    <col collapsed="false" customWidth="true" hidden="false" outlineLevel="0" max="5" min="5" style="0" width="13"/>
    <col collapsed="false" customWidth="true" hidden="false" outlineLevel="0" max="6" min="6" style="0" width="10"/>
    <col collapsed="false" customWidth="true" hidden="false" outlineLevel="0" max="7" min="7" style="0" width="8"/>
    <col collapsed="false" customWidth="true" hidden="false" outlineLevel="0" max="8" min="8" style="0" width="15"/>
    <col collapsed="false" customWidth="true" hidden="false" outlineLevel="0" max="9" min="9" style="0" width="14"/>
  </cols>
  <sheetData>
    <row r="1" customFormat="false" ht="25.5" hidden="false" customHeight="true" outlineLevel="0" collapsed="false">
      <c r="A1" s="1" t="s">
        <v>148</v>
      </c>
      <c r="B1" s="1"/>
      <c r="C1" s="1"/>
      <c r="D1" s="1"/>
      <c r="E1" s="1"/>
      <c r="F1" s="1"/>
      <c r="G1" s="1"/>
      <c r="H1" s="1"/>
      <c r="I1" s="1"/>
    </row>
    <row r="2" customFormat="false" ht="18" hidden="false" customHeight="true" outlineLevel="0" collapsed="false">
      <c r="A2" s="2" t="s">
        <v>149</v>
      </c>
      <c r="B2" s="2"/>
      <c r="C2" s="2"/>
      <c r="D2" s="2"/>
      <c r="E2" s="2"/>
      <c r="F2" s="2"/>
      <c r="G2" s="2"/>
      <c r="H2" s="2"/>
      <c r="I2" s="2"/>
    </row>
    <row r="4" customFormat="false" ht="30" hidden="false" customHeight="true" outlineLevel="0" collapsed="false">
      <c r="A4" s="25" t="s">
        <v>69</v>
      </c>
      <c r="B4" s="25" t="s">
        <v>150</v>
      </c>
      <c r="C4" s="25" t="s">
        <v>151</v>
      </c>
      <c r="D4" s="25" t="s">
        <v>152</v>
      </c>
      <c r="E4" s="25" t="s">
        <v>153</v>
      </c>
      <c r="F4" s="25" t="s">
        <v>154</v>
      </c>
      <c r="G4" s="25" t="s">
        <v>155</v>
      </c>
      <c r="H4" s="25" t="s">
        <v>156</v>
      </c>
      <c r="I4" s="25" t="s">
        <v>157</v>
      </c>
    </row>
    <row r="5" customFormat="false" ht="15" hidden="false" customHeight="false" outlineLevel="0" collapsed="false">
      <c r="A5" s="26" t="s">
        <v>124</v>
      </c>
      <c r="B5" s="27" t="n">
        <v>0.35</v>
      </c>
      <c r="C5" s="27" t="n">
        <v>0.4</v>
      </c>
      <c r="D5" s="27" t="n">
        <v>0</v>
      </c>
      <c r="E5" s="27" t="n">
        <v>0.08</v>
      </c>
      <c r="F5" s="27" t="n">
        <v>0.05</v>
      </c>
      <c r="G5" s="27" t="n">
        <v>0.02</v>
      </c>
      <c r="H5" s="27" t="n">
        <v>0.1</v>
      </c>
      <c r="I5" s="31" t="n">
        <f aca="false">SUM(B5:H5)</f>
        <v>1</v>
      </c>
    </row>
    <row r="6" customFormat="false" ht="15" hidden="false" customHeight="false" outlineLevel="0" collapsed="false">
      <c r="A6" s="26" t="s">
        <v>128</v>
      </c>
      <c r="B6" s="27" t="n">
        <v>0.35</v>
      </c>
      <c r="C6" s="27" t="n">
        <v>0.4</v>
      </c>
      <c r="D6" s="27" t="n">
        <v>0</v>
      </c>
      <c r="E6" s="27" t="n">
        <v>0.08</v>
      </c>
      <c r="F6" s="27" t="n">
        <v>0.05</v>
      </c>
      <c r="G6" s="27" t="n">
        <v>0.02</v>
      </c>
      <c r="H6" s="27" t="n">
        <v>0.1</v>
      </c>
      <c r="I6" s="31" t="n">
        <f aca="false">SUM(B6:H6)</f>
        <v>1</v>
      </c>
    </row>
    <row r="7" customFormat="false" ht="15" hidden="false" customHeight="false" outlineLevel="0" collapsed="false">
      <c r="A7" s="26" t="s">
        <v>130</v>
      </c>
      <c r="B7" s="27" t="n">
        <v>0.2</v>
      </c>
      <c r="C7" s="27" t="n">
        <v>0</v>
      </c>
      <c r="D7" s="27" t="n">
        <v>0.1</v>
      </c>
      <c r="E7" s="27" t="n">
        <v>0.05</v>
      </c>
      <c r="F7" s="27" t="n">
        <v>0.06</v>
      </c>
      <c r="G7" s="27" t="n">
        <v>0.02</v>
      </c>
      <c r="H7" s="27" t="n">
        <v>0.08</v>
      </c>
      <c r="I7" s="31" t="n">
        <f aca="false">SUM(B7:H7)</f>
        <v>0.51</v>
      </c>
    </row>
    <row r="8" customFormat="false" ht="15" hidden="false" customHeight="false" outlineLevel="0" collapsed="false">
      <c r="A8" s="26" t="s">
        <v>133</v>
      </c>
      <c r="B8" s="27" t="n">
        <v>0.12</v>
      </c>
      <c r="C8" s="27" t="n">
        <v>0</v>
      </c>
      <c r="D8" s="27" t="n">
        <v>0.08</v>
      </c>
      <c r="E8" s="27" t="n">
        <v>0.05</v>
      </c>
      <c r="F8" s="27" t="n">
        <v>0.06</v>
      </c>
      <c r="G8" s="27" t="n">
        <v>0.02</v>
      </c>
      <c r="H8" s="27" t="n">
        <v>0.08</v>
      </c>
      <c r="I8" s="31" t="n">
        <f aca="false">SUM(B8:H8)</f>
        <v>0.41</v>
      </c>
    </row>
    <row r="9" customFormat="false" ht="15" hidden="false" customHeight="false" outlineLevel="0" collapsed="false">
      <c r="A9" s="26" t="s">
        <v>135</v>
      </c>
      <c r="B9" s="27" t="n">
        <v>0.1</v>
      </c>
      <c r="C9" s="27" t="n">
        <v>0</v>
      </c>
      <c r="D9" s="27" t="n">
        <v>0.08</v>
      </c>
      <c r="E9" s="27" t="n">
        <v>0.03</v>
      </c>
      <c r="F9" s="27" t="n">
        <v>0</v>
      </c>
      <c r="G9" s="27" t="n">
        <v>0.02</v>
      </c>
      <c r="H9" s="27" t="n">
        <v>0.06</v>
      </c>
      <c r="I9" s="31" t="n">
        <f aca="false">SUM(B9:H9)</f>
        <v>0.29</v>
      </c>
    </row>
    <row r="10" customFormat="false" ht="15" hidden="false" customHeight="false" outlineLevel="0" collapsed="false">
      <c r="A10" s="26" t="s">
        <v>137</v>
      </c>
      <c r="B10" s="27" t="n">
        <v>0.15</v>
      </c>
      <c r="C10" s="27" t="n">
        <v>0</v>
      </c>
      <c r="D10" s="27" t="n">
        <v>0</v>
      </c>
      <c r="E10" s="27" t="n">
        <v>0.02</v>
      </c>
      <c r="F10" s="27" t="n">
        <v>0</v>
      </c>
      <c r="G10" s="27" t="n">
        <v>0</v>
      </c>
      <c r="H10" s="27" t="n">
        <v>0.04</v>
      </c>
      <c r="I10" s="31" t="n">
        <f aca="false">SUM(B10:H10)</f>
        <v>0.21</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5"/>
    <col collapsed="false" customWidth="true" hidden="false" outlineLevel="0" max="3" min="3" style="0" width="3"/>
  </cols>
  <sheetData>
    <row r="1" customFormat="false" ht="25.5" hidden="false" customHeight="true" outlineLevel="0" collapsed="false">
      <c r="A1" s="1" t="s">
        <v>29</v>
      </c>
      <c r="B1" s="1"/>
      <c r="C1" s="1"/>
    </row>
    <row r="2" customFormat="false" ht="18" hidden="false" customHeight="true" outlineLevel="0" collapsed="false">
      <c r="A2" s="2" t="s">
        <v>158</v>
      </c>
      <c r="B2" s="2"/>
      <c r="C2" s="2"/>
    </row>
    <row r="4" customFormat="false" ht="30" hidden="false" customHeight="true" outlineLevel="0" collapsed="false">
      <c r="A4" s="25" t="s">
        <v>159</v>
      </c>
      <c r="B4" s="25" t="s">
        <v>160</v>
      </c>
    </row>
    <row r="5" customFormat="false" ht="15" hidden="false" customHeight="false" outlineLevel="0" collapsed="false">
      <c r="A5" s="26" t="s">
        <v>161</v>
      </c>
      <c r="B5" s="33" t="n">
        <v>9500</v>
      </c>
    </row>
    <row r="6" customFormat="false" ht="15" hidden="false" customHeight="false" outlineLevel="0" collapsed="false">
      <c r="A6" s="26" t="s">
        <v>162</v>
      </c>
      <c r="B6" s="33" t="n">
        <v>1800</v>
      </c>
    </row>
    <row r="7" customFormat="false" ht="15" hidden="false" customHeight="false" outlineLevel="0" collapsed="false">
      <c r="A7" s="26" t="s">
        <v>163</v>
      </c>
      <c r="B7" s="33" t="n">
        <v>900</v>
      </c>
    </row>
    <row r="8" customFormat="false" ht="15" hidden="false" customHeight="false" outlineLevel="0" collapsed="false">
      <c r="A8" s="26" t="s">
        <v>164</v>
      </c>
      <c r="B8" s="33" t="n">
        <v>400</v>
      </c>
    </row>
    <row r="9" customFormat="false" ht="15" hidden="false" customHeight="false" outlineLevel="0" collapsed="false">
      <c r="A9" s="26" t="s">
        <v>165</v>
      </c>
      <c r="B9" s="33" t="n">
        <v>150</v>
      </c>
    </row>
    <row r="10" customFormat="false" ht="15" hidden="false" customHeight="false" outlineLevel="0" collapsed="false">
      <c r="A10" s="26" t="s">
        <v>166</v>
      </c>
      <c r="B10" s="33" t="n">
        <v>600</v>
      </c>
    </row>
    <row r="11" customFormat="false" ht="15" hidden="false" customHeight="false" outlineLevel="0" collapsed="false">
      <c r="A11" s="26" t="s">
        <v>167</v>
      </c>
      <c r="B11" s="33" t="n">
        <v>500</v>
      </c>
    </row>
    <row r="12" customFormat="false" ht="15" hidden="false" customHeight="false" outlineLevel="0" collapsed="false">
      <c r="A12" s="26" t="s">
        <v>168</v>
      </c>
      <c r="B12" s="33" t="n">
        <v>2000</v>
      </c>
    </row>
    <row r="13" customFormat="false" ht="15" hidden="false" customHeight="false" outlineLevel="0" collapsed="false">
      <c r="A13" s="26" t="s">
        <v>169</v>
      </c>
      <c r="B13" s="33" t="n">
        <v>300</v>
      </c>
    </row>
    <row r="14" customFormat="false" ht="15" hidden="false" customHeight="false" outlineLevel="0" collapsed="false">
      <c r="A14" s="26" t="s">
        <v>170</v>
      </c>
      <c r="B14" s="33" t="n">
        <v>700</v>
      </c>
    </row>
    <row r="15" customFormat="false" ht="15" hidden="false" customHeight="false" outlineLevel="0" collapsed="false">
      <c r="A15" s="26" t="s">
        <v>171</v>
      </c>
      <c r="B15" s="33" t="n">
        <v>22000</v>
      </c>
    </row>
    <row r="16" customFormat="false" ht="15" hidden="false" customHeight="false" outlineLevel="0" collapsed="false">
      <c r="A16" s="26" t="s">
        <v>172</v>
      </c>
      <c r="B16" s="33" t="n">
        <v>1200</v>
      </c>
    </row>
    <row r="17" customFormat="false" ht="15" hidden="false" customHeight="false" outlineLevel="0" collapsed="false">
      <c r="A17" s="26" t="s">
        <v>173</v>
      </c>
      <c r="B17" s="33" t="n">
        <v>1600</v>
      </c>
    </row>
    <row r="18" customFormat="false" ht="15" hidden="false" customHeight="false" outlineLevel="0" collapsed="false">
      <c r="A18" s="26" t="s">
        <v>174</v>
      </c>
      <c r="B18" s="33" t="n">
        <v>500</v>
      </c>
    </row>
    <row r="20" customFormat="false" ht="15" hidden="false" customHeight="false" outlineLevel="0" collapsed="false">
      <c r="A20" s="4" t="s">
        <v>175</v>
      </c>
      <c r="B20" s="34" t="n">
        <f aca="false">SUM(B5:B18)</f>
        <v>42150</v>
      </c>
    </row>
    <row r="21" customFormat="false" ht="15" hidden="false" customHeight="false" outlineLevel="0" collapsed="false">
      <c r="A21" s="4" t="s">
        <v>176</v>
      </c>
      <c r="B21" s="35" t="n">
        <f aca="false">'پروفایل کسب‌وکار'!$B$8</f>
        <v>26</v>
      </c>
    </row>
    <row r="22" customFormat="false" ht="15" hidden="false" customHeight="false" outlineLevel="0" collapsed="false">
      <c r="A22" s="4" t="s">
        <v>177</v>
      </c>
      <c r="B22" s="16" t="n">
        <f aca="false">IFERROR(B20/B21,0)</f>
        <v>1621.15384615385</v>
      </c>
    </row>
    <row r="23" customFormat="false" ht="15" hidden="false" customHeight="false" outlineLevel="0" collapsed="false">
      <c r="A23" s="4" t="s">
        <v>178</v>
      </c>
      <c r="B23" s="35" t="n">
        <f aca="false">'پروفایل کسب‌وکار'!$B$14</f>
        <v>120</v>
      </c>
    </row>
    <row r="24" customFormat="false" ht="15" hidden="false" customHeight="false" outlineLevel="0" collapsed="false">
      <c r="A24" s="4" t="s">
        <v>179</v>
      </c>
      <c r="B24" s="16" t="n">
        <f aca="false">IFERROR(B22/B23,0)</f>
        <v>13.5096153846154</v>
      </c>
    </row>
    <row r="25" customFormat="false" ht="15" hidden="false" customHeight="false" outlineLevel="0" collapsed="false">
      <c r="A25" s="4" t="s">
        <v>180</v>
      </c>
      <c r="B25" s="36" t="n">
        <f aca="false">'پروفایل کسب‌وکار'!$B$15</f>
        <v>2</v>
      </c>
    </row>
    <row r="26" customFormat="false" ht="15" hidden="false" customHeight="false" outlineLevel="0" collapsed="false">
      <c r="A26" s="4" t="s">
        <v>181</v>
      </c>
      <c r="B26" s="16" t="n">
        <f aca="false">IFERROR(B24/B25,0)</f>
        <v>6.75480769230769</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20" min="3" style="0" width="12"/>
    <col collapsed="false" customWidth="true" hidden="false" outlineLevel="0" max="21" min="21" style="0" width="14"/>
  </cols>
  <sheetData>
    <row r="1" customFormat="false" ht="25.5" hidden="false" customHeight="true" outlineLevel="0" collapsed="false">
      <c r="A1" s="1" t="s">
        <v>182</v>
      </c>
      <c r="B1" s="1"/>
      <c r="C1" s="1"/>
      <c r="D1" s="1"/>
      <c r="E1" s="1"/>
      <c r="F1" s="1"/>
      <c r="G1" s="1"/>
      <c r="H1" s="1"/>
      <c r="I1" s="1"/>
      <c r="J1" s="1"/>
      <c r="K1" s="1"/>
      <c r="L1" s="1"/>
      <c r="M1" s="1"/>
      <c r="N1" s="1"/>
      <c r="O1" s="1"/>
      <c r="P1" s="1"/>
      <c r="Q1" s="1"/>
      <c r="R1" s="1"/>
      <c r="S1" s="1"/>
      <c r="T1" s="1"/>
      <c r="U1" s="1"/>
    </row>
    <row r="2" customFormat="false" ht="18" hidden="false" customHeight="true" outlineLevel="0" collapsed="false">
      <c r="A2" s="2" t="s">
        <v>183</v>
      </c>
      <c r="B2" s="2"/>
      <c r="C2" s="2"/>
      <c r="D2" s="2"/>
      <c r="E2" s="2"/>
      <c r="F2" s="2"/>
      <c r="G2" s="2"/>
      <c r="H2" s="2"/>
      <c r="I2" s="2"/>
      <c r="J2" s="2"/>
      <c r="K2" s="2"/>
      <c r="L2" s="2"/>
      <c r="M2" s="2"/>
      <c r="N2" s="2"/>
      <c r="O2" s="2"/>
      <c r="P2" s="2"/>
      <c r="Q2" s="2"/>
      <c r="R2" s="2"/>
      <c r="S2" s="2"/>
      <c r="T2" s="2"/>
      <c r="U2" s="2"/>
    </row>
    <row r="4" customFormat="false" ht="30" hidden="false" customHeight="true" outlineLevel="0" collapsed="false">
      <c r="A4" s="25" t="s">
        <v>69</v>
      </c>
      <c r="B4" s="25" t="s">
        <v>76</v>
      </c>
      <c r="C4" s="25" t="s">
        <v>184</v>
      </c>
      <c r="D4" s="25" t="s">
        <v>185</v>
      </c>
      <c r="E4" s="25" t="s">
        <v>186</v>
      </c>
      <c r="F4" s="25" t="s">
        <v>187</v>
      </c>
      <c r="G4" s="25" t="s">
        <v>188</v>
      </c>
      <c r="H4" s="25" t="s">
        <v>189</v>
      </c>
      <c r="I4" s="25" t="s">
        <v>190</v>
      </c>
      <c r="J4" s="25" t="s">
        <v>191</v>
      </c>
      <c r="K4" s="25" t="s">
        <v>192</v>
      </c>
      <c r="L4" s="25" t="s">
        <v>193</v>
      </c>
      <c r="M4" s="25" t="s">
        <v>71</v>
      </c>
      <c r="N4" s="25" t="s">
        <v>194</v>
      </c>
      <c r="O4" s="25" t="s">
        <v>195</v>
      </c>
      <c r="P4" s="25" t="s">
        <v>196</v>
      </c>
      <c r="Q4" s="25" t="s">
        <v>197</v>
      </c>
      <c r="R4" s="25" t="s">
        <v>198</v>
      </c>
      <c r="S4" s="25" t="s">
        <v>199</v>
      </c>
      <c r="T4" s="25" t="s">
        <v>200</v>
      </c>
      <c r="U4" s="25" t="s">
        <v>201</v>
      </c>
    </row>
    <row r="5" customFormat="false" ht="15" hidden="false" customHeight="false" outlineLevel="0" collapsed="false">
      <c r="A5" s="26" t="s">
        <v>124</v>
      </c>
      <c r="B5" s="26" t="s">
        <v>125</v>
      </c>
      <c r="C5" s="31" t="n">
        <f aca="false">IFERROR(INDEX('دستور پخت'!$C$29:$C$34,MATCH($A5,'دستور پخت'!$A$29:$A$34,0)),0)</f>
        <v>1.56125298004238</v>
      </c>
      <c r="D5" s="31" t="n">
        <f aca="false">IFERROR(INDEX('بسته‌بندی'!$I$5:$I$10,MATCH($A5,'بسته‌بندی'!$A$5:$A$10,0)),0)</f>
        <v>1</v>
      </c>
      <c r="E5" s="27" t="n">
        <v>1.2</v>
      </c>
      <c r="F5" s="31" t="n">
        <f aca="false">Overhead_Per_Item</f>
        <v>6.75480769230769</v>
      </c>
      <c r="G5" s="27" t="n">
        <v>0</v>
      </c>
      <c r="H5" s="31" t="n">
        <f aca="false">$J5*'پروفایل کسب‌وکار'!$B$7</f>
        <v>1.192</v>
      </c>
      <c r="I5" s="31" t="n">
        <f aca="false">C5+D5+E5+F5+G5</f>
        <v>10.5160606723501</v>
      </c>
      <c r="J5" s="27" t="n">
        <v>14.9</v>
      </c>
      <c r="K5" s="31" t="n">
        <f aca="false">J5-C5-D5</f>
        <v>12.3387470199576</v>
      </c>
      <c r="L5" s="37" t="n">
        <f aca="false">IFERROR(K5/J5,0)</f>
        <v>0.828103826842794</v>
      </c>
      <c r="M5" s="31" t="n">
        <f aca="false">J5-I5</f>
        <v>4.38393932764993</v>
      </c>
      <c r="N5" s="37" t="n">
        <f aca="false">IFERROR(M5/J5,0)</f>
        <v>0.29422411594966</v>
      </c>
      <c r="O5" s="37" t="n">
        <f aca="false">IFERROR(C5/J5,0)</f>
        <v>0.104782079197475</v>
      </c>
      <c r="P5" s="37" t="n">
        <f aca="false">IFERROR((J5-C5)/C5,0)</f>
        <v>8.54361669150862</v>
      </c>
      <c r="Q5" s="31" t="n">
        <f aca="false">I5</f>
        <v>10.5160606723501</v>
      </c>
      <c r="R5" s="31" t="n">
        <f aca="false">IFERROR(I5/(1-'پروفایل کسب‌وکار'!$B$11),0)</f>
        <v>12.3718360851177</v>
      </c>
      <c r="S5" s="31" t="n">
        <f aca="false">IFERROR(C5/'پروفایل کسب‌وکار'!$B$9,0)</f>
        <v>5.20417660014125</v>
      </c>
      <c r="T5" s="31" t="n">
        <f aca="false">J5-R5</f>
        <v>2.52816391488227</v>
      </c>
      <c r="U5" s="38" t="str">
        <f aca="false">IF(M5&lt;0,"ضررده",IF(N5&lt;'پروفایل کسب‌وکار'!$B$11*0.5,"حاشیه سود پایین",IF(N5&lt;'پروفایل کسب‌وکار'!$B$11,"نیاز به بازبینی",IF(AND(N5&gt;='پروفایل کسب‌وکار'!$B$11,O5&lt;='پروفایل کسب‌وکار'!$B$9),"عالی","سالم"))))</f>
        <v>عالی</v>
      </c>
    </row>
    <row r="6" customFormat="false" ht="15" hidden="false" customHeight="false" outlineLevel="0" collapsed="false">
      <c r="A6" s="26" t="s">
        <v>128</v>
      </c>
      <c r="B6" s="26" t="s">
        <v>125</v>
      </c>
      <c r="C6" s="31" t="n">
        <f aca="false">IFERROR(INDEX('دستور پخت'!$C$29:$C$34,MATCH($A6,'دستور پخت'!$A$29:$A$34,0)),0)</f>
        <v>1.96528770603261</v>
      </c>
      <c r="D6" s="31" t="n">
        <f aca="false">IFERROR(INDEX('بسته‌بندی'!$I$5:$I$10,MATCH($A6,'بسته‌بندی'!$A$5:$A$10,0)),0)</f>
        <v>1</v>
      </c>
      <c r="E6" s="27" t="n">
        <v>1.3</v>
      </c>
      <c r="F6" s="31" t="n">
        <f aca="false">Overhead_Per_Item</f>
        <v>6.75480769230769</v>
      </c>
      <c r="G6" s="27" t="n">
        <v>0</v>
      </c>
      <c r="H6" s="31" t="n">
        <f aca="false">$J6*'پروفایل کسب‌وکار'!$B$7</f>
        <v>1.352</v>
      </c>
      <c r="I6" s="31" t="n">
        <f aca="false">C6+D6+E6+F6+G6</f>
        <v>11.0200953983403</v>
      </c>
      <c r="J6" s="27" t="n">
        <v>16.9</v>
      </c>
      <c r="K6" s="31" t="n">
        <f aca="false">J6-C6-D6</f>
        <v>13.9347122939674</v>
      </c>
      <c r="L6" s="37" t="n">
        <f aca="false">IFERROR(K6/J6,0)</f>
        <v>0.824539188992153</v>
      </c>
      <c r="M6" s="31" t="n">
        <f aca="false">J6-I6</f>
        <v>5.8799046016597</v>
      </c>
      <c r="N6" s="37" t="n">
        <f aca="false">IFERROR(M6/J6,0)</f>
        <v>0.347923349210633</v>
      </c>
      <c r="O6" s="37" t="n">
        <f aca="false">IFERROR(C6/J6,0)</f>
        <v>0.116289213374711</v>
      </c>
      <c r="P6" s="37" t="n">
        <f aca="false">IFERROR((J6-C6)/C6,0)</f>
        <v>7.59924984424626</v>
      </c>
      <c r="Q6" s="31" t="n">
        <f aca="false">I6</f>
        <v>11.0200953983403</v>
      </c>
      <c r="R6" s="31" t="n">
        <f aca="false">IFERROR(I6/(1-'پروفایل کسب‌وکار'!$B$11),0)</f>
        <v>12.9648181156945</v>
      </c>
      <c r="S6" s="31" t="n">
        <f aca="false">IFERROR(C6/'پروفایل کسب‌وکار'!$B$9,0)</f>
        <v>6.5509590201087</v>
      </c>
      <c r="T6" s="31" t="n">
        <f aca="false">J6-R6</f>
        <v>3.93518188430553</v>
      </c>
      <c r="U6" s="38" t="str">
        <f aca="false">IF(M6&lt;0,"ضررده",IF(N6&lt;'پروفایل کسب‌وکار'!$B$11*0.5,"حاشیه سود پایین",IF(N6&lt;'پروفایل کسب‌وکار'!$B$11,"نیاز به بازبینی",IF(AND(N6&gt;='پروفایل کسب‌وکار'!$B$11,O6&lt;='پروفایل کسب‌وکار'!$B$9),"عالی","سالم"))))</f>
        <v>عالی</v>
      </c>
    </row>
    <row r="7" customFormat="false" ht="15" hidden="false" customHeight="false" outlineLevel="0" collapsed="false">
      <c r="A7" s="26" t="s">
        <v>130</v>
      </c>
      <c r="B7" s="26" t="s">
        <v>131</v>
      </c>
      <c r="C7" s="31" t="n">
        <f aca="false">IFERROR(INDEX('دستور پخت'!$C$29:$C$34,MATCH($A7,'دستور پخت'!$A$29:$A$34,0)),0)</f>
        <v>0.846719766167337</v>
      </c>
      <c r="D7" s="31" t="n">
        <f aca="false">IFERROR(INDEX('بسته‌بندی'!$I$5:$I$10,MATCH($A7,'بسته‌بندی'!$A$5:$A$10,0)),0)</f>
        <v>0.51</v>
      </c>
      <c r="E7" s="27" t="n">
        <v>1.8</v>
      </c>
      <c r="F7" s="31" t="n">
        <f aca="false">Overhead_Per_Item</f>
        <v>6.75480769230769</v>
      </c>
      <c r="G7" s="27" t="n">
        <v>0</v>
      </c>
      <c r="H7" s="31" t="n">
        <f aca="false">$J7*'پروفایل کسب‌وکار'!$B$7</f>
        <v>0.92</v>
      </c>
      <c r="I7" s="31" t="n">
        <f aca="false">C7+D7+E7+F7+G7</f>
        <v>9.91152745847503</v>
      </c>
      <c r="J7" s="27" t="n">
        <v>11.5</v>
      </c>
      <c r="K7" s="31" t="n">
        <f aca="false">J7-C7-D7</f>
        <v>10.1432802338327</v>
      </c>
      <c r="L7" s="37" t="n">
        <f aca="false">IFERROR(K7/J7,0)</f>
        <v>0.882024368159362</v>
      </c>
      <c r="M7" s="31" t="n">
        <f aca="false">J7-I7</f>
        <v>1.58847254152497</v>
      </c>
      <c r="N7" s="37" t="n">
        <f aca="false">IFERROR(M7/J7,0)</f>
        <v>0.138128047089128</v>
      </c>
      <c r="O7" s="37" t="n">
        <f aca="false">IFERROR(C7/J7,0)</f>
        <v>0.0736278057536814</v>
      </c>
      <c r="P7" s="37" t="n">
        <f aca="false">IFERROR((J7-C7)/C7,0)</f>
        <v>12.5818253683324</v>
      </c>
      <c r="Q7" s="31" t="n">
        <f aca="false">I7</f>
        <v>9.91152745847503</v>
      </c>
      <c r="R7" s="31" t="n">
        <f aca="false">IFERROR(I7/(1-'پروفایل کسب‌وکار'!$B$11),0)</f>
        <v>11.6606205393824</v>
      </c>
      <c r="S7" s="31" t="n">
        <f aca="false">IFERROR(C7/'پروفایل کسب‌وکار'!$B$9,0)</f>
        <v>2.82239922055779</v>
      </c>
      <c r="T7" s="31" t="n">
        <f aca="false">J7-R7</f>
        <v>-0.160620539382386</v>
      </c>
      <c r="U7" s="38" t="str">
        <f aca="false">IF(M7&lt;0,"ضررده",IF(N7&lt;'پروفایل کسب‌وکار'!$B$11*0.5,"حاشیه سود پایین",IF(N7&lt;'پروفایل کسب‌وکار'!$B$11,"نیاز به بازبینی",IF(AND(N7&gt;='پروفایل کسب‌وکار'!$B$11,O7&lt;='پروفایل کسب‌وکار'!$B$9),"عالی","سالم"))))</f>
        <v>نیاز به بازبینی</v>
      </c>
    </row>
    <row r="8" customFormat="false" ht="15" hidden="false" customHeight="false" outlineLevel="0" collapsed="false">
      <c r="A8" s="26" t="s">
        <v>133</v>
      </c>
      <c r="B8" s="26" t="s">
        <v>134</v>
      </c>
      <c r="C8" s="31" t="n">
        <f aca="false">IFERROR(INDEX('دستور پخت'!$C$29:$C$34,MATCH($A8,'دستور پخت'!$A$29:$A$34,0)),0)</f>
        <v>0.739817944569132</v>
      </c>
      <c r="D8" s="31" t="n">
        <f aca="false">IFERROR(INDEX('بسته‌بندی'!$I$5:$I$10,MATCH($A8,'بسته‌بندی'!$A$5:$A$10,0)),0)</f>
        <v>0.41</v>
      </c>
      <c r="E8" s="27" t="n">
        <v>1.5</v>
      </c>
      <c r="F8" s="31" t="n">
        <f aca="false">Overhead_Per_Item</f>
        <v>6.75480769230769</v>
      </c>
      <c r="G8" s="27" t="n">
        <v>0</v>
      </c>
      <c r="H8" s="31" t="n">
        <f aca="false">$J8*'پروفایل کسب‌وکار'!$B$7</f>
        <v>1.032</v>
      </c>
      <c r="I8" s="31" t="n">
        <f aca="false">C8+D8+E8+F8+G8</f>
        <v>9.40462563687682</v>
      </c>
      <c r="J8" s="27" t="n">
        <v>12.9</v>
      </c>
      <c r="K8" s="31" t="n">
        <f aca="false">J8-C8-D8</f>
        <v>11.7501820554309</v>
      </c>
      <c r="L8" s="37" t="n">
        <f aca="false">IFERROR(K8/J8,0)</f>
        <v>0.910866826002393</v>
      </c>
      <c r="M8" s="31" t="n">
        <f aca="false">J8-I8</f>
        <v>3.49537436312318</v>
      </c>
      <c r="N8" s="37" t="n">
        <f aca="false">IFERROR(M8/J8,0)</f>
        <v>0.270959252955285</v>
      </c>
      <c r="O8" s="37" t="n">
        <f aca="false">IFERROR(C8/J8,0)</f>
        <v>0.057350228261173</v>
      </c>
      <c r="P8" s="37" t="n">
        <f aca="false">IFERROR((J8-C8)/C8,0)</f>
        <v>16.4367222297006</v>
      </c>
      <c r="Q8" s="31" t="n">
        <f aca="false">I8</f>
        <v>9.40462563687682</v>
      </c>
      <c r="R8" s="31" t="n">
        <f aca="false">IFERROR(I8/(1-'پروفایل کسب‌وکار'!$B$11),0)</f>
        <v>11.0642654551492</v>
      </c>
      <c r="S8" s="31" t="n">
        <f aca="false">IFERROR(C8/'پروفایل کسب‌وکار'!$B$9,0)</f>
        <v>2.46605981523044</v>
      </c>
      <c r="T8" s="31" t="n">
        <f aca="false">J8-R8</f>
        <v>1.83573454485079</v>
      </c>
      <c r="U8" s="38" t="str">
        <f aca="false">IF(M8&lt;0,"ضررده",IF(N8&lt;'پروفایل کسب‌وکار'!$B$11*0.5,"حاشیه سود پایین",IF(N8&lt;'پروفایل کسب‌وکار'!$B$11,"نیاز به بازبینی",IF(AND(N8&gt;='پروفایل کسب‌وکار'!$B$11,O8&lt;='پروفایل کسب‌وکار'!$B$9),"عالی","سالم"))))</f>
        <v>عالی</v>
      </c>
    </row>
    <row r="9" customFormat="false" ht="15" hidden="false" customHeight="false" outlineLevel="0" collapsed="false">
      <c r="A9" s="26" t="s">
        <v>135</v>
      </c>
      <c r="B9" s="26" t="s">
        <v>136</v>
      </c>
      <c r="C9" s="31" t="n">
        <f aca="false">IFERROR(INDEX('دستور پخت'!$C$29:$C$34,MATCH($A9,'دستور پخت'!$A$29:$A$34,0)),0)</f>
        <v>0.509265306122449</v>
      </c>
      <c r="D9" s="31" t="n">
        <f aca="false">IFERROR(INDEX('بسته‌بندی'!$I$5:$I$10,MATCH($A9,'بسته‌بندی'!$A$5:$A$10,0)),0)</f>
        <v>0.29</v>
      </c>
      <c r="E9" s="27" t="n">
        <v>0.6</v>
      </c>
      <c r="F9" s="31" t="n">
        <f aca="false">Overhead_Per_Item</f>
        <v>6.75480769230769</v>
      </c>
      <c r="G9" s="27" t="n">
        <v>0</v>
      </c>
      <c r="H9" s="31" t="n">
        <f aca="false">$J9*'پروفایل کسب‌وکار'!$B$7</f>
        <v>0.52</v>
      </c>
      <c r="I9" s="31" t="n">
        <f aca="false">C9+D9+E9+F9+G9</f>
        <v>8.15407299843014</v>
      </c>
      <c r="J9" s="27" t="n">
        <v>6.5</v>
      </c>
      <c r="K9" s="31" t="n">
        <f aca="false">J9-C9-D9</f>
        <v>5.70073469387755</v>
      </c>
      <c r="L9" s="37" t="n">
        <f aca="false">IFERROR(K9/J9,0)</f>
        <v>0.877036106750393</v>
      </c>
      <c r="M9" s="31" t="n">
        <f aca="false">J9-I9</f>
        <v>-1.65407299843014</v>
      </c>
      <c r="N9" s="37" t="n">
        <f aca="false">IFERROR(M9/J9,0)</f>
        <v>-0.254472768989253</v>
      </c>
      <c r="O9" s="37" t="n">
        <f aca="false">IFERROR(C9/J9,0)</f>
        <v>0.0783485086342229</v>
      </c>
      <c r="P9" s="37" t="n">
        <f aca="false">IFERROR((J9-C9)/C9,0)</f>
        <v>11.7634848120542</v>
      </c>
      <c r="Q9" s="31" t="n">
        <f aca="false">I9</f>
        <v>8.15407299843014</v>
      </c>
      <c r="R9" s="31" t="n">
        <f aca="false">IFERROR(I9/(1-'پروفایل کسب‌وکار'!$B$11),0)</f>
        <v>9.59302705697664</v>
      </c>
      <c r="S9" s="31" t="n">
        <f aca="false">IFERROR(C9/'پروفایل کسب‌وکار'!$B$9,0)</f>
        <v>1.69755102040816</v>
      </c>
      <c r="T9" s="31" t="n">
        <f aca="false">J9-R9</f>
        <v>-3.09302705697664</v>
      </c>
      <c r="U9" s="38" t="str">
        <f aca="false">IF(M9&lt;0,"ضررده",IF(N9&lt;'پروفایل کسب‌وکار'!$B$11*0.5,"حاشیه سود پایین",IF(N9&lt;'پروفایل کسب‌وکار'!$B$11,"نیاز به بازبینی",IF(AND(N9&gt;='پروفایل کسب‌وکار'!$B$11,O9&lt;='پروفایل کسب‌وکار'!$B$9),"عالی","سالم"))))</f>
        <v>ضررده</v>
      </c>
    </row>
    <row r="10" customFormat="false" ht="15" hidden="false" customHeight="false" outlineLevel="0" collapsed="false">
      <c r="A10" s="26" t="s">
        <v>137</v>
      </c>
      <c r="B10" s="26" t="s">
        <v>116</v>
      </c>
      <c r="C10" s="31" t="n">
        <f aca="false">IFERROR(INDEX('دستور پخت'!$C$29:$C$34,MATCH($A10,'دستور پخت'!$A$29:$A$34,0)),0)</f>
        <v>0.3</v>
      </c>
      <c r="D10" s="31" t="n">
        <f aca="false">IFERROR(INDEX('بسته‌بندی'!$I$5:$I$10,MATCH($A10,'بسته‌بندی'!$A$5:$A$10,0)),0)</f>
        <v>0.21</v>
      </c>
      <c r="E10" s="27" t="n">
        <v>0.3</v>
      </c>
      <c r="F10" s="31" t="n">
        <f aca="false">Overhead_Per_Item</f>
        <v>6.75480769230769</v>
      </c>
      <c r="G10" s="27" t="n">
        <v>0</v>
      </c>
      <c r="H10" s="31" t="n">
        <f aca="false">$J10*'پروفایل کسب‌وکار'!$B$7</f>
        <v>0.28</v>
      </c>
      <c r="I10" s="31" t="n">
        <f aca="false">C10+D10+E10+F10+G10</f>
        <v>7.56480769230769</v>
      </c>
      <c r="J10" s="27" t="n">
        <v>3.5</v>
      </c>
      <c r="K10" s="31" t="n">
        <f aca="false">J10-C10-D10</f>
        <v>2.99</v>
      </c>
      <c r="L10" s="37" t="n">
        <f aca="false">IFERROR(K10/J10,0)</f>
        <v>0.854285714285714</v>
      </c>
      <c r="M10" s="31" t="n">
        <f aca="false">J10-I10</f>
        <v>-4.06480769230769</v>
      </c>
      <c r="N10" s="37" t="n">
        <f aca="false">IFERROR(M10/J10,0)</f>
        <v>-1.16137362637363</v>
      </c>
      <c r="O10" s="37" t="n">
        <f aca="false">IFERROR(C10/J10,0)</f>
        <v>0.0857142857142857</v>
      </c>
      <c r="P10" s="37" t="n">
        <f aca="false">IFERROR((J10-C10)/C10,0)</f>
        <v>10.6666666666667</v>
      </c>
      <c r="Q10" s="31" t="n">
        <f aca="false">I10</f>
        <v>7.56480769230769</v>
      </c>
      <c r="R10" s="31" t="n">
        <f aca="false">IFERROR(I10/(1-'پروفایل کسب‌وکار'!$B$11),0)</f>
        <v>8.89977375565611</v>
      </c>
      <c r="S10" s="31" t="n">
        <f aca="false">IFERROR(C10/'پروفایل کسب‌وکار'!$B$9,0)</f>
        <v>1</v>
      </c>
      <c r="T10" s="31" t="n">
        <f aca="false">J10-R10</f>
        <v>-5.39977375565611</v>
      </c>
      <c r="U10" s="38" t="str">
        <f aca="false">IF(M10&lt;0,"ضررده",IF(N10&lt;'پروفایل کسب‌وکار'!$B$11*0.5,"حاشیه سود پایین",IF(N10&lt;'پروفایل کسب‌وکار'!$B$11,"نیاز به بازبینی",IF(AND(N10&gt;='پروفایل کسب‌وکار'!$B$11,O10&lt;='پروفایل کسب‌وکار'!$B$9),"عالی","سالم"))))</f>
        <v>ضررده</v>
      </c>
    </row>
  </sheetData>
  <mergeCells count="2">
    <mergeCell ref="A1:U1"/>
    <mergeCell ref="A2:U2"/>
  </mergeCells>
  <conditionalFormatting sqref="U5:U10">
    <cfRule type="cellIs" priority="2" operator="equal" aboveAverage="0" equalAverage="0" bottom="0" percent="0" rank="0" text="" dxfId="1">
      <formula>"عالی"</formula>
    </cfRule>
    <cfRule type="cellIs" priority="3" operator="equal" aboveAverage="0" equalAverage="0" bottom="0" percent="0" rank="0" text="" dxfId="2">
      <formula>"سالم"</formula>
    </cfRule>
    <cfRule type="cellIs" priority="4" operator="equal" aboveAverage="0" equalAverage="0" bottom="0" percent="0" rank="0" text="" dxfId="3">
      <formula>"نیاز به بازبینی"</formula>
    </cfRule>
    <cfRule type="cellIs" priority="5" operator="equal" aboveAverage="0" equalAverage="0" bottom="0" percent="0" rank="0" text="" dxfId="4">
      <formula>"حاشیه سود پایین"</formula>
    </cfRule>
    <cfRule type="cellIs" priority="6" operator="equal" aboveAverage="0" equalAverage="0" bottom="0" percent="0" rank="0" text="" dxfId="5">
      <formula>"ضررده"</formula>
    </cfRule>
  </conditionalFormatting>
  <conditionalFormatting sqref="O5:O10">
    <cfRule type="colorScale" priority="7">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4"/>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0"/>
    <col collapsed="false" customWidth="true" hidden="false" outlineLevel="0" max="6" min="4" style="0" width="12"/>
  </cols>
  <sheetData>
    <row r="1" customFormat="false" ht="25.5" hidden="false" customHeight="true" outlineLevel="0" collapsed="false">
      <c r="A1" s="1" t="s">
        <v>23</v>
      </c>
      <c r="B1" s="1"/>
      <c r="C1" s="1"/>
      <c r="D1" s="1"/>
      <c r="E1" s="1"/>
      <c r="F1" s="1"/>
    </row>
    <row r="2" customFormat="false" ht="18" hidden="false" customHeight="true" outlineLevel="0" collapsed="false">
      <c r="A2" s="2" t="s">
        <v>202</v>
      </c>
      <c r="B2" s="2"/>
      <c r="C2" s="2"/>
      <c r="D2" s="2"/>
      <c r="E2" s="2"/>
      <c r="F2" s="2"/>
    </row>
    <row r="4" customFormat="false" ht="30" hidden="false" customHeight="true" outlineLevel="0" collapsed="false">
      <c r="A4" s="25" t="s">
        <v>203</v>
      </c>
      <c r="B4" s="25" t="s">
        <v>69</v>
      </c>
      <c r="C4" s="25" t="s">
        <v>204</v>
      </c>
      <c r="D4" s="25" t="s">
        <v>70</v>
      </c>
      <c r="E4" s="25" t="s">
        <v>192</v>
      </c>
      <c r="F4" s="25" t="s">
        <v>71</v>
      </c>
    </row>
    <row r="5" customFormat="false" ht="15" hidden="false" customHeight="false" outlineLevel="0" collapsed="false">
      <c r="A5" s="30" t="n">
        <v>46235</v>
      </c>
      <c r="B5" s="26" t="s">
        <v>124</v>
      </c>
      <c r="C5" s="26" t="n">
        <v>23</v>
      </c>
      <c r="D5" s="31" t="n">
        <f aca="false">IFERROR(C5*INDEX('قیمت‌گذاری منو'!$J$5:$J$10,MATCH(B5,'قیمت‌گذاری منو'!$A$5:$A$10,0)),0)</f>
        <v>342.7</v>
      </c>
      <c r="E5" s="31" t="n">
        <f aca="false">IFERROR(C5*INDEX('قیمت‌گذاری منو'!$K$5:$K$10,MATCH(B5,'قیمت‌گذاری منو'!$A$5:$A$10,0)),0)</f>
        <v>283.791181459025</v>
      </c>
      <c r="F5" s="31" t="n">
        <f aca="false">IFERROR(C5*INDEX('قیمت‌گذاری منو'!$M$5:$M$10,MATCH(B5,'قیمت‌گذاری منو'!$A$5:$A$10,0)),0)</f>
        <v>100.830604535948</v>
      </c>
    </row>
    <row r="6" customFormat="false" ht="15" hidden="false" customHeight="false" outlineLevel="0" collapsed="false">
      <c r="A6" s="30" t="n">
        <v>46235</v>
      </c>
      <c r="B6" s="26" t="s">
        <v>128</v>
      </c>
      <c r="C6" s="26" t="n">
        <v>18</v>
      </c>
      <c r="D6" s="31" t="n">
        <f aca="false">IFERROR(C6*INDEX('قیمت‌گذاری منو'!$J$5:$J$10,MATCH(B6,'قیمت‌گذاری منو'!$A$5:$A$10,0)),0)</f>
        <v>304.2</v>
      </c>
      <c r="E6" s="31" t="n">
        <f aca="false">IFERROR(C6*INDEX('قیمت‌گذاری منو'!$K$5:$K$10,MATCH(B6,'قیمت‌گذاری منو'!$A$5:$A$10,0)),0)</f>
        <v>250.824821291413</v>
      </c>
      <c r="F6" s="31" t="n">
        <f aca="false">IFERROR(C6*INDEX('قیمت‌گذاری منو'!$M$5:$M$10,MATCH(B6,'قیمت‌گذاری منو'!$A$5:$A$10,0)),0)</f>
        <v>105.838282829875</v>
      </c>
    </row>
    <row r="7" customFormat="false" ht="15" hidden="false" customHeight="false" outlineLevel="0" collapsed="false">
      <c r="A7" s="30" t="n">
        <v>46235</v>
      </c>
      <c r="B7" s="26" t="s">
        <v>130</v>
      </c>
      <c r="C7" s="26" t="n">
        <v>5</v>
      </c>
      <c r="D7" s="31" t="n">
        <f aca="false">IFERROR(C7*INDEX('قیمت‌گذاری منو'!$J$5:$J$10,MATCH(B7,'قیمت‌گذاری منو'!$A$5:$A$10,0)),0)</f>
        <v>57.5</v>
      </c>
      <c r="E7" s="31" t="n">
        <f aca="false">IFERROR(C7*INDEX('قیمت‌گذاری منو'!$K$5:$K$10,MATCH(B7,'قیمت‌گذاری منو'!$A$5:$A$10,0)),0)</f>
        <v>50.7164011691633</v>
      </c>
      <c r="F7" s="31" t="n">
        <f aca="false">IFERROR(C7*INDEX('قیمت‌گذاری منو'!$M$5:$M$10,MATCH(B7,'قیمت‌گذاری منو'!$A$5:$A$10,0)),0)</f>
        <v>7.94236270762486</v>
      </c>
    </row>
    <row r="8" customFormat="false" ht="15" hidden="false" customHeight="false" outlineLevel="0" collapsed="false">
      <c r="A8" s="30" t="n">
        <v>46235</v>
      </c>
      <c r="B8" s="26" t="s">
        <v>133</v>
      </c>
      <c r="C8" s="26" t="n">
        <v>21</v>
      </c>
      <c r="D8" s="31" t="n">
        <f aca="false">IFERROR(C8*INDEX('قیمت‌گذاری منو'!$J$5:$J$10,MATCH(B8,'قیمت‌گذاری منو'!$A$5:$A$10,0)),0)</f>
        <v>270.9</v>
      </c>
      <c r="E8" s="31" t="n">
        <f aca="false">IFERROR(C8*INDEX('قیمت‌گذاری منو'!$K$5:$K$10,MATCH(B8,'قیمت‌گذاری منو'!$A$5:$A$10,0)),0)</f>
        <v>246.753823164048</v>
      </c>
      <c r="F8" s="31" t="n">
        <f aca="false">IFERROR(C8*INDEX('قیمت‌گذاری منو'!$M$5:$M$10,MATCH(B8,'قیمت‌گذاری منو'!$A$5:$A$10,0)),0)</f>
        <v>73.4028616255867</v>
      </c>
    </row>
    <row r="9" customFormat="false" ht="15" hidden="false" customHeight="false" outlineLevel="0" collapsed="false">
      <c r="A9" s="30" t="n">
        <v>46235</v>
      </c>
      <c r="B9" s="26" t="s">
        <v>135</v>
      </c>
      <c r="C9" s="26" t="n">
        <v>7</v>
      </c>
      <c r="D9" s="31" t="n">
        <f aca="false">IFERROR(C9*INDEX('قیمت‌گذاری منو'!$J$5:$J$10,MATCH(B9,'قیمت‌گذاری منو'!$A$5:$A$10,0)),0)</f>
        <v>45.5</v>
      </c>
      <c r="E9" s="31" t="n">
        <f aca="false">IFERROR(C9*INDEX('قیمت‌گذاری منو'!$K$5:$K$10,MATCH(B9,'قیمت‌گذاری منو'!$A$5:$A$10,0)),0)</f>
        <v>39.9051428571429</v>
      </c>
      <c r="F9" s="31" t="n">
        <f aca="false">IFERROR(C9*INDEX('قیمت‌گذاری منو'!$M$5:$M$10,MATCH(B9,'قیمت‌گذاری منو'!$A$5:$A$10,0)),0)</f>
        <v>-11.578510989011</v>
      </c>
    </row>
    <row r="10" customFormat="false" ht="15" hidden="false" customHeight="false" outlineLevel="0" collapsed="false">
      <c r="A10" s="30" t="n">
        <v>46235</v>
      </c>
      <c r="B10" s="26" t="s">
        <v>137</v>
      </c>
      <c r="C10" s="26" t="n">
        <v>12</v>
      </c>
      <c r="D10" s="31" t="n">
        <f aca="false">IFERROR(C10*INDEX('قیمت‌گذاری منو'!$J$5:$J$10,MATCH(B10,'قیمت‌گذاری منو'!$A$5:$A$10,0)),0)</f>
        <v>42</v>
      </c>
      <c r="E10" s="31" t="n">
        <f aca="false">IFERROR(C10*INDEX('قیمت‌گذاری منو'!$K$5:$K$10,MATCH(B10,'قیمت‌گذاری منو'!$A$5:$A$10,0)),0)</f>
        <v>35.88</v>
      </c>
      <c r="F10" s="31" t="n">
        <f aca="false">IFERROR(C10*INDEX('قیمت‌گذاری منو'!$M$5:$M$10,MATCH(B10,'قیمت‌گذاری منو'!$A$5:$A$10,0)),0)</f>
        <v>-48.7776923076923</v>
      </c>
    </row>
    <row r="11" customFormat="false" ht="15" hidden="false" customHeight="false" outlineLevel="0" collapsed="false">
      <c r="A11" s="30" t="n">
        <v>46236</v>
      </c>
      <c r="B11" s="26" t="s">
        <v>124</v>
      </c>
      <c r="C11" s="26" t="n">
        <v>16</v>
      </c>
      <c r="D11" s="31" t="n">
        <f aca="false">IFERROR(C11*INDEX('قیمت‌گذاری منو'!$J$5:$J$10,MATCH(B11,'قیمت‌گذاری منو'!$A$5:$A$10,0)),0)</f>
        <v>238.4</v>
      </c>
      <c r="E11" s="31" t="n">
        <f aca="false">IFERROR(C11*INDEX('قیمت‌گذاری منو'!$K$5:$K$10,MATCH(B11,'قیمت‌گذاری منو'!$A$5:$A$10,0)),0)</f>
        <v>197.419952319322</v>
      </c>
      <c r="F11" s="31" t="n">
        <f aca="false">IFERROR(C11*INDEX('قیمت‌گذاری منو'!$M$5:$M$10,MATCH(B11,'قیمت‌گذاری منو'!$A$5:$A$10,0)),0)</f>
        <v>70.1430292423989</v>
      </c>
    </row>
    <row r="12" customFormat="false" ht="15" hidden="false" customHeight="false" outlineLevel="0" collapsed="false">
      <c r="A12" s="30" t="n">
        <v>46236</v>
      </c>
      <c r="B12" s="26" t="s">
        <v>128</v>
      </c>
      <c r="C12" s="26" t="n">
        <v>19</v>
      </c>
      <c r="D12" s="31" t="n">
        <f aca="false">IFERROR(C12*INDEX('قیمت‌گذاری منو'!$J$5:$J$10,MATCH(B12,'قیمت‌گذاری منو'!$A$5:$A$10,0)),0)</f>
        <v>321.1</v>
      </c>
      <c r="E12" s="31" t="n">
        <f aca="false">IFERROR(C12*INDEX('قیمت‌گذاری منو'!$K$5:$K$10,MATCH(B12,'قیمت‌گذاری منو'!$A$5:$A$10,0)),0)</f>
        <v>264.75953358538</v>
      </c>
      <c r="F12" s="31" t="n">
        <f aca="false">IFERROR(C12*INDEX('قیمت‌گذاری منو'!$M$5:$M$10,MATCH(B12,'قیمت‌گذاری منو'!$A$5:$A$10,0)),0)</f>
        <v>111.718187431534</v>
      </c>
    </row>
    <row r="13" customFormat="false" ht="15" hidden="false" customHeight="false" outlineLevel="0" collapsed="false">
      <c r="A13" s="30" t="n">
        <v>46236</v>
      </c>
      <c r="B13" s="26" t="s">
        <v>130</v>
      </c>
      <c r="C13" s="26" t="n">
        <v>16</v>
      </c>
      <c r="D13" s="31" t="n">
        <f aca="false">IFERROR(C13*INDEX('قیمت‌گذاری منو'!$J$5:$J$10,MATCH(B13,'قیمت‌گذاری منو'!$A$5:$A$10,0)),0)</f>
        <v>184</v>
      </c>
      <c r="E13" s="31" t="n">
        <f aca="false">IFERROR(C13*INDEX('قیمت‌گذاری منو'!$K$5:$K$10,MATCH(B13,'قیمت‌گذاری منو'!$A$5:$A$10,0)),0)</f>
        <v>162.292483741323</v>
      </c>
      <c r="F13" s="31" t="n">
        <f aca="false">IFERROR(C13*INDEX('قیمت‌گذاری منو'!$M$5:$M$10,MATCH(B13,'قیمت‌گذاری منو'!$A$5:$A$10,0)),0)</f>
        <v>25.4155606643996</v>
      </c>
    </row>
    <row r="14" customFormat="false" ht="15" hidden="false" customHeight="false" outlineLevel="0" collapsed="false">
      <c r="A14" s="30" t="n">
        <v>46236</v>
      </c>
      <c r="B14" s="26" t="s">
        <v>133</v>
      </c>
      <c r="C14" s="26" t="n">
        <v>11</v>
      </c>
      <c r="D14" s="31" t="n">
        <f aca="false">IFERROR(C14*INDEX('قیمت‌گذاری منو'!$J$5:$J$10,MATCH(B14,'قیمت‌گذاری منو'!$A$5:$A$10,0)),0)</f>
        <v>141.9</v>
      </c>
      <c r="E14" s="31" t="n">
        <f aca="false">IFERROR(C14*INDEX('قیمت‌گذاری منو'!$K$5:$K$10,MATCH(B14,'قیمت‌گذاری منو'!$A$5:$A$10,0)),0)</f>
        <v>129.25200260974</v>
      </c>
      <c r="F14" s="31" t="n">
        <f aca="false">IFERROR(C14*INDEX('قیمت‌گذاری منو'!$M$5:$M$10,MATCH(B14,'قیمت‌گذاری منو'!$A$5:$A$10,0)),0)</f>
        <v>38.4491179943549</v>
      </c>
    </row>
    <row r="15" customFormat="false" ht="15" hidden="false" customHeight="false" outlineLevel="0" collapsed="false">
      <c r="A15" s="30" t="n">
        <v>46236</v>
      </c>
      <c r="B15" s="26" t="s">
        <v>135</v>
      </c>
      <c r="C15" s="26" t="n">
        <v>13</v>
      </c>
      <c r="D15" s="31" t="n">
        <f aca="false">IFERROR(C15*INDEX('قیمت‌گذاری منو'!$J$5:$J$10,MATCH(B15,'قیمت‌گذاری منو'!$A$5:$A$10,0)),0)</f>
        <v>84.5</v>
      </c>
      <c r="E15" s="31" t="n">
        <f aca="false">IFERROR(C15*INDEX('قیمت‌گذاری منو'!$K$5:$K$10,MATCH(B15,'قیمت‌گذاری منو'!$A$5:$A$10,0)),0)</f>
        <v>74.1095510204082</v>
      </c>
      <c r="F15" s="31" t="n">
        <f aca="false">IFERROR(C15*INDEX('قیمت‌گذاری منو'!$M$5:$M$10,MATCH(B15,'قیمت‌گذاری منو'!$A$5:$A$10,0)),0)</f>
        <v>-21.5029489795918</v>
      </c>
    </row>
    <row r="16" customFormat="false" ht="15" hidden="false" customHeight="false" outlineLevel="0" collapsed="false">
      <c r="A16" s="30" t="n">
        <v>46236</v>
      </c>
      <c r="B16" s="26" t="s">
        <v>137</v>
      </c>
      <c r="C16" s="26" t="n">
        <v>20</v>
      </c>
      <c r="D16" s="31" t="n">
        <f aca="false">IFERROR(C16*INDEX('قیمت‌گذاری منو'!$J$5:$J$10,MATCH(B16,'قیمت‌گذاری منو'!$A$5:$A$10,0)),0)</f>
        <v>70</v>
      </c>
      <c r="E16" s="31" t="n">
        <f aca="false">IFERROR(C16*INDEX('قیمت‌گذاری منو'!$K$5:$K$10,MATCH(B16,'قیمت‌گذاری منو'!$A$5:$A$10,0)),0)</f>
        <v>59.8</v>
      </c>
      <c r="F16" s="31" t="n">
        <f aca="false">IFERROR(C16*INDEX('قیمت‌گذاری منو'!$M$5:$M$10,MATCH(B16,'قیمت‌گذاری منو'!$A$5:$A$10,0)),0)</f>
        <v>-81.2961538461538</v>
      </c>
    </row>
    <row r="17" customFormat="false" ht="15" hidden="false" customHeight="false" outlineLevel="0" collapsed="false">
      <c r="A17" s="30" t="n">
        <v>46237</v>
      </c>
      <c r="B17" s="26" t="s">
        <v>124</v>
      </c>
      <c r="C17" s="26" t="n">
        <v>21</v>
      </c>
      <c r="D17" s="31" t="n">
        <f aca="false">IFERROR(C17*INDEX('قیمت‌گذاری منو'!$J$5:$J$10,MATCH(B17,'قیمت‌گذاری منو'!$A$5:$A$10,0)),0)</f>
        <v>312.9</v>
      </c>
      <c r="E17" s="31" t="n">
        <f aca="false">IFERROR(C17*INDEX('قیمت‌گذاری منو'!$K$5:$K$10,MATCH(B17,'قیمت‌گذاری منو'!$A$5:$A$10,0)),0)</f>
        <v>259.11368741911</v>
      </c>
      <c r="F17" s="31" t="n">
        <f aca="false">IFERROR(C17*INDEX('قیمت‌گذاری منو'!$M$5:$M$10,MATCH(B17,'قیمت‌گذاری منو'!$A$5:$A$10,0)),0)</f>
        <v>92.0627258806486</v>
      </c>
    </row>
    <row r="18" customFormat="false" ht="15" hidden="false" customHeight="false" outlineLevel="0" collapsed="false">
      <c r="A18" s="30" t="n">
        <v>46237</v>
      </c>
      <c r="B18" s="26" t="s">
        <v>128</v>
      </c>
      <c r="C18" s="26" t="n">
        <v>18</v>
      </c>
      <c r="D18" s="31" t="n">
        <f aca="false">IFERROR(C18*INDEX('قیمت‌گذاری منو'!$J$5:$J$10,MATCH(B18,'قیمت‌گذاری منو'!$A$5:$A$10,0)),0)</f>
        <v>304.2</v>
      </c>
      <c r="E18" s="31" t="n">
        <f aca="false">IFERROR(C18*INDEX('قیمت‌گذاری منو'!$K$5:$K$10,MATCH(B18,'قیمت‌گذاری منو'!$A$5:$A$10,0)),0)</f>
        <v>250.824821291413</v>
      </c>
      <c r="F18" s="31" t="n">
        <f aca="false">IFERROR(C18*INDEX('قیمت‌گذاری منو'!$M$5:$M$10,MATCH(B18,'قیمت‌گذاری منو'!$A$5:$A$10,0)),0)</f>
        <v>105.838282829875</v>
      </c>
    </row>
    <row r="19" customFormat="false" ht="15" hidden="false" customHeight="false" outlineLevel="0" collapsed="false">
      <c r="A19" s="30" t="n">
        <v>46237</v>
      </c>
      <c r="B19" s="26" t="s">
        <v>130</v>
      </c>
      <c r="C19" s="26" t="n">
        <v>14</v>
      </c>
      <c r="D19" s="31" t="n">
        <f aca="false">IFERROR(C19*INDEX('قیمت‌گذاری منو'!$J$5:$J$10,MATCH(B19,'قیمت‌گذاری منو'!$A$5:$A$10,0)),0)</f>
        <v>161</v>
      </c>
      <c r="E19" s="31" t="n">
        <f aca="false">IFERROR(C19*INDEX('قیمت‌گذاری منو'!$K$5:$K$10,MATCH(B19,'قیمت‌گذاری منو'!$A$5:$A$10,0)),0)</f>
        <v>142.005923273657</v>
      </c>
      <c r="F19" s="31" t="n">
        <f aca="false">IFERROR(C19*INDEX('قیمت‌گذاری منو'!$M$5:$M$10,MATCH(B19,'قیمت‌گذاری منو'!$A$5:$A$10,0)),0)</f>
        <v>22.2386155813496</v>
      </c>
    </row>
    <row r="20" customFormat="false" ht="15" hidden="false" customHeight="false" outlineLevel="0" collapsed="false">
      <c r="A20" s="30" t="n">
        <v>46237</v>
      </c>
      <c r="B20" s="26" t="s">
        <v>133</v>
      </c>
      <c r="C20" s="26" t="n">
        <v>16</v>
      </c>
      <c r="D20" s="31" t="n">
        <f aca="false">IFERROR(C20*INDEX('قیمت‌گذاری منو'!$J$5:$J$10,MATCH(B20,'قیمت‌گذاری منو'!$A$5:$A$10,0)),0)</f>
        <v>206.4</v>
      </c>
      <c r="E20" s="31" t="n">
        <f aca="false">IFERROR(C20*INDEX('قیمت‌گذاری منو'!$K$5:$K$10,MATCH(B20,'قیمت‌گذاری منو'!$A$5:$A$10,0)),0)</f>
        <v>188.002912886894</v>
      </c>
      <c r="F20" s="31" t="n">
        <f aca="false">IFERROR(C20*INDEX('قیمت‌گذاری منو'!$M$5:$M$10,MATCH(B20,'قیمت‌گذاری منو'!$A$5:$A$10,0)),0)</f>
        <v>55.9259898099708</v>
      </c>
    </row>
    <row r="21" customFormat="false" ht="15" hidden="false" customHeight="false" outlineLevel="0" collapsed="false">
      <c r="A21" s="30" t="n">
        <v>46237</v>
      </c>
      <c r="B21" s="26" t="s">
        <v>135</v>
      </c>
      <c r="C21" s="26" t="n">
        <v>3</v>
      </c>
      <c r="D21" s="31" t="n">
        <f aca="false">IFERROR(C21*INDEX('قیمت‌گذاری منو'!$J$5:$J$10,MATCH(B21,'قیمت‌گذاری منو'!$A$5:$A$10,0)),0)</f>
        <v>19.5</v>
      </c>
      <c r="E21" s="31" t="n">
        <f aca="false">IFERROR(C21*INDEX('قیمت‌گذاری منو'!$K$5:$K$10,MATCH(B21,'قیمت‌گذاری منو'!$A$5:$A$10,0)),0)</f>
        <v>17.1022040816327</v>
      </c>
      <c r="F21" s="31" t="n">
        <f aca="false">IFERROR(C21*INDEX('قیمت‌گذاری منو'!$M$5:$M$10,MATCH(B21,'قیمت‌گذاری منو'!$A$5:$A$10,0)),0)</f>
        <v>-4.96221899529042</v>
      </c>
    </row>
    <row r="22" customFormat="false" ht="15" hidden="false" customHeight="false" outlineLevel="0" collapsed="false">
      <c r="A22" s="30" t="n">
        <v>46237</v>
      </c>
      <c r="B22" s="26" t="s">
        <v>137</v>
      </c>
      <c r="C22" s="26" t="n">
        <v>9</v>
      </c>
      <c r="D22" s="31" t="n">
        <f aca="false">IFERROR(C22*INDEX('قیمت‌گذاری منو'!$J$5:$J$10,MATCH(B22,'قیمت‌گذاری منو'!$A$5:$A$10,0)),0)</f>
        <v>31.5</v>
      </c>
      <c r="E22" s="31" t="n">
        <f aca="false">IFERROR(C22*INDEX('قیمت‌گذاری منو'!$K$5:$K$10,MATCH(B22,'قیمت‌گذاری منو'!$A$5:$A$10,0)),0)</f>
        <v>26.91</v>
      </c>
      <c r="F22" s="31" t="n">
        <f aca="false">IFERROR(C22*INDEX('قیمت‌گذاری منو'!$M$5:$M$10,MATCH(B22,'قیمت‌گذاری منو'!$A$5:$A$10,0)),0)</f>
        <v>-36.5832692307692</v>
      </c>
    </row>
    <row r="23" customFormat="false" ht="15" hidden="false" customHeight="false" outlineLevel="0" collapsed="false">
      <c r="A23" s="30" t="n">
        <v>46238</v>
      </c>
      <c r="B23" s="26" t="s">
        <v>124</v>
      </c>
      <c r="C23" s="26" t="n">
        <v>14</v>
      </c>
      <c r="D23" s="31" t="n">
        <f aca="false">IFERROR(C23*INDEX('قیمت‌گذاری منو'!$J$5:$J$10,MATCH(B23,'قیمت‌گذاری منو'!$A$5:$A$10,0)),0)</f>
        <v>208.6</v>
      </c>
      <c r="E23" s="31" t="n">
        <f aca="false">IFERROR(C23*INDEX('قیمت‌گذاری منو'!$K$5:$K$10,MATCH(B23,'قیمت‌گذاری منو'!$A$5:$A$10,0)),0)</f>
        <v>172.742458279407</v>
      </c>
      <c r="F23" s="31" t="n">
        <f aca="false">IFERROR(C23*INDEX('قیمت‌گذاری منو'!$M$5:$M$10,MATCH(B23,'قیمت‌گذاری منو'!$A$5:$A$10,0)),0)</f>
        <v>61.375150587099</v>
      </c>
    </row>
    <row r="24" customFormat="false" ht="15" hidden="false" customHeight="false" outlineLevel="0" collapsed="false">
      <c r="A24" s="30" t="n">
        <v>46238</v>
      </c>
      <c r="B24" s="26" t="s">
        <v>128</v>
      </c>
      <c r="C24" s="26" t="n">
        <v>20</v>
      </c>
      <c r="D24" s="31" t="n">
        <f aca="false">IFERROR(C24*INDEX('قیمت‌گذاری منو'!$J$5:$J$10,MATCH(B24,'قیمت‌گذاری منو'!$A$5:$A$10,0)),0)</f>
        <v>338</v>
      </c>
      <c r="E24" s="31" t="n">
        <f aca="false">IFERROR(C24*INDEX('قیمت‌گذاری منو'!$K$5:$K$10,MATCH(B24,'قیمت‌گذاری منو'!$A$5:$A$10,0)),0)</f>
        <v>278.694245879348</v>
      </c>
      <c r="F24" s="31" t="n">
        <f aca="false">IFERROR(C24*INDEX('قیمت‌گذاری منو'!$M$5:$M$10,MATCH(B24,'قیمت‌گذاری منو'!$A$5:$A$10,0)),0)</f>
        <v>117.598092033194</v>
      </c>
    </row>
    <row r="25" customFormat="false" ht="15" hidden="false" customHeight="false" outlineLevel="0" collapsed="false">
      <c r="A25" s="30" t="n">
        <v>46238</v>
      </c>
      <c r="B25" s="26" t="s">
        <v>130</v>
      </c>
      <c r="C25" s="26" t="n">
        <v>8</v>
      </c>
      <c r="D25" s="31" t="n">
        <f aca="false">IFERROR(C25*INDEX('قیمت‌گذاری منو'!$J$5:$J$10,MATCH(B25,'قیمت‌گذاری منو'!$A$5:$A$10,0)),0)</f>
        <v>92</v>
      </c>
      <c r="E25" s="31" t="n">
        <f aca="false">IFERROR(C25*INDEX('قیمت‌گذاری منو'!$K$5:$K$10,MATCH(B25,'قیمت‌گذاری منو'!$A$5:$A$10,0)),0)</f>
        <v>81.1462418706613</v>
      </c>
      <c r="F25" s="31" t="n">
        <f aca="false">IFERROR(C25*INDEX('قیمت‌گذاری منو'!$M$5:$M$10,MATCH(B25,'قیمت‌گذاری منو'!$A$5:$A$10,0)),0)</f>
        <v>12.7077803321998</v>
      </c>
    </row>
    <row r="26" customFormat="false" ht="15" hidden="false" customHeight="false" outlineLevel="0" collapsed="false">
      <c r="A26" s="30" t="n">
        <v>46238</v>
      </c>
      <c r="B26" s="26" t="s">
        <v>133</v>
      </c>
      <c r="C26" s="26" t="n">
        <v>18</v>
      </c>
      <c r="D26" s="31" t="n">
        <f aca="false">IFERROR(C26*INDEX('قیمت‌گذاری منو'!$J$5:$J$10,MATCH(B26,'قیمت‌گذاری منو'!$A$5:$A$10,0)),0)</f>
        <v>232.2</v>
      </c>
      <c r="E26" s="31" t="n">
        <f aca="false">IFERROR(C26*INDEX('قیمت‌گذاری منو'!$K$5:$K$10,MATCH(B26,'قیمت‌گذاری منو'!$A$5:$A$10,0)),0)</f>
        <v>211.503276997756</v>
      </c>
      <c r="F26" s="31" t="n">
        <f aca="false">IFERROR(C26*INDEX('قیمت‌گذاری منو'!$M$5:$M$10,MATCH(B26,'قیمت‌گذاری منو'!$A$5:$A$10,0)),0)</f>
        <v>62.9167385362172</v>
      </c>
    </row>
    <row r="27" customFormat="false" ht="15" hidden="false" customHeight="false" outlineLevel="0" collapsed="false">
      <c r="A27" s="30" t="n">
        <v>46238</v>
      </c>
      <c r="B27" s="26" t="s">
        <v>135</v>
      </c>
      <c r="C27" s="26" t="n">
        <v>12</v>
      </c>
      <c r="D27" s="31" t="n">
        <f aca="false">IFERROR(C27*INDEX('قیمت‌گذاری منو'!$J$5:$J$10,MATCH(B27,'قیمت‌گذاری منو'!$A$5:$A$10,0)),0)</f>
        <v>78</v>
      </c>
      <c r="E27" s="31" t="n">
        <f aca="false">IFERROR(C27*INDEX('قیمت‌گذاری منو'!$K$5:$K$10,MATCH(B27,'قیمت‌گذاری منو'!$A$5:$A$10,0)),0)</f>
        <v>68.4088163265306</v>
      </c>
      <c r="F27" s="31" t="n">
        <f aca="false">IFERROR(C27*INDEX('قیمت‌گذاری منو'!$M$5:$M$10,MATCH(B27,'قیمت‌گذاری منو'!$A$5:$A$10,0)),0)</f>
        <v>-19.8488759811617</v>
      </c>
    </row>
    <row r="28" customFormat="false" ht="15" hidden="false" customHeight="false" outlineLevel="0" collapsed="false">
      <c r="A28" s="30" t="n">
        <v>46238</v>
      </c>
      <c r="B28" s="26" t="s">
        <v>137</v>
      </c>
      <c r="C28" s="26" t="n">
        <v>9</v>
      </c>
      <c r="D28" s="31" t="n">
        <f aca="false">IFERROR(C28*INDEX('قیمت‌گذاری منو'!$J$5:$J$10,MATCH(B28,'قیمت‌گذاری منو'!$A$5:$A$10,0)),0)</f>
        <v>31.5</v>
      </c>
      <c r="E28" s="31" t="n">
        <f aca="false">IFERROR(C28*INDEX('قیمت‌گذاری منو'!$K$5:$K$10,MATCH(B28,'قیمت‌گذاری منو'!$A$5:$A$10,0)),0)</f>
        <v>26.91</v>
      </c>
      <c r="F28" s="31" t="n">
        <f aca="false">IFERROR(C28*INDEX('قیمت‌گذاری منو'!$M$5:$M$10,MATCH(B28,'قیمت‌گذاری منو'!$A$5:$A$10,0)),0)</f>
        <v>-36.5832692307692</v>
      </c>
    </row>
    <row r="29" customFormat="false" ht="15" hidden="false" customHeight="false" outlineLevel="0" collapsed="false">
      <c r="A29" s="30" t="n">
        <v>46239</v>
      </c>
      <c r="B29" s="26" t="s">
        <v>124</v>
      </c>
      <c r="C29" s="26" t="n">
        <v>21</v>
      </c>
      <c r="D29" s="31" t="n">
        <f aca="false">IFERROR(C29*INDEX('قیمت‌گذاری منو'!$J$5:$J$10,MATCH(B29,'قیمت‌گذاری منو'!$A$5:$A$10,0)),0)</f>
        <v>312.9</v>
      </c>
      <c r="E29" s="31" t="n">
        <f aca="false">IFERROR(C29*INDEX('قیمت‌گذاری منو'!$K$5:$K$10,MATCH(B29,'قیمت‌گذاری منو'!$A$5:$A$10,0)),0)</f>
        <v>259.11368741911</v>
      </c>
      <c r="F29" s="31" t="n">
        <f aca="false">IFERROR(C29*INDEX('قیمت‌گذاری منو'!$M$5:$M$10,MATCH(B29,'قیمت‌گذاری منو'!$A$5:$A$10,0)),0)</f>
        <v>92.0627258806486</v>
      </c>
    </row>
    <row r="30" customFormat="false" ht="15" hidden="false" customHeight="false" outlineLevel="0" collapsed="false">
      <c r="A30" s="30" t="n">
        <v>46239</v>
      </c>
      <c r="B30" s="26" t="s">
        <v>128</v>
      </c>
      <c r="C30" s="26" t="n">
        <v>20</v>
      </c>
      <c r="D30" s="31" t="n">
        <f aca="false">IFERROR(C30*INDEX('قیمت‌گذاری منو'!$J$5:$J$10,MATCH(B30,'قیمت‌گذاری منو'!$A$5:$A$10,0)),0)</f>
        <v>338</v>
      </c>
      <c r="E30" s="31" t="n">
        <f aca="false">IFERROR(C30*INDEX('قیمت‌گذاری منو'!$K$5:$K$10,MATCH(B30,'قیمت‌گذاری منو'!$A$5:$A$10,0)),0)</f>
        <v>278.694245879348</v>
      </c>
      <c r="F30" s="31" t="n">
        <f aca="false">IFERROR(C30*INDEX('قیمت‌گذاری منو'!$M$5:$M$10,MATCH(B30,'قیمت‌گذاری منو'!$A$5:$A$10,0)),0)</f>
        <v>117.598092033194</v>
      </c>
    </row>
    <row r="31" customFormat="false" ht="15" hidden="false" customHeight="false" outlineLevel="0" collapsed="false">
      <c r="A31" s="30" t="n">
        <v>46239</v>
      </c>
      <c r="B31" s="26" t="s">
        <v>130</v>
      </c>
      <c r="C31" s="26" t="n">
        <v>16</v>
      </c>
      <c r="D31" s="31" t="n">
        <f aca="false">IFERROR(C31*INDEX('قیمت‌گذاری منو'!$J$5:$J$10,MATCH(B31,'قیمت‌گذاری منو'!$A$5:$A$10,0)),0)</f>
        <v>184</v>
      </c>
      <c r="E31" s="31" t="n">
        <f aca="false">IFERROR(C31*INDEX('قیمت‌گذاری منو'!$K$5:$K$10,MATCH(B31,'قیمت‌گذاری منو'!$A$5:$A$10,0)),0)</f>
        <v>162.292483741323</v>
      </c>
      <c r="F31" s="31" t="n">
        <f aca="false">IFERROR(C31*INDEX('قیمت‌گذاری منو'!$M$5:$M$10,MATCH(B31,'قیمت‌گذاری منو'!$A$5:$A$10,0)),0)</f>
        <v>25.4155606643996</v>
      </c>
    </row>
    <row r="32" customFormat="false" ht="15" hidden="false" customHeight="false" outlineLevel="0" collapsed="false">
      <c r="A32" s="30" t="n">
        <v>46239</v>
      </c>
      <c r="B32" s="26" t="s">
        <v>133</v>
      </c>
      <c r="C32" s="26" t="n">
        <v>20</v>
      </c>
      <c r="D32" s="31" t="n">
        <f aca="false">IFERROR(C32*INDEX('قیمت‌گذاری منو'!$J$5:$J$10,MATCH(B32,'قیمت‌گذاری منو'!$A$5:$A$10,0)),0)</f>
        <v>258</v>
      </c>
      <c r="E32" s="31" t="n">
        <f aca="false">IFERROR(C32*INDEX('قیمت‌گذاری منو'!$K$5:$K$10,MATCH(B32,'قیمت‌گذاری منو'!$A$5:$A$10,0)),0)</f>
        <v>235.003641108617</v>
      </c>
      <c r="F32" s="31" t="n">
        <f aca="false">IFERROR(C32*INDEX('قیمت‌گذاری منو'!$M$5:$M$10,MATCH(B32,'قیمت‌گذاری منو'!$A$5:$A$10,0)),0)</f>
        <v>69.9074872624635</v>
      </c>
    </row>
    <row r="33" customFormat="false" ht="15" hidden="false" customHeight="false" outlineLevel="0" collapsed="false">
      <c r="A33" s="30" t="n">
        <v>46239</v>
      </c>
      <c r="B33" s="26" t="s">
        <v>135</v>
      </c>
      <c r="C33" s="26" t="n">
        <v>14</v>
      </c>
      <c r="D33" s="31" t="n">
        <f aca="false">IFERROR(C33*INDEX('قیمت‌گذاری منو'!$J$5:$J$10,MATCH(B33,'قیمت‌گذاری منو'!$A$5:$A$10,0)),0)</f>
        <v>91</v>
      </c>
      <c r="E33" s="31" t="n">
        <f aca="false">IFERROR(C33*INDEX('قیمت‌گذاری منو'!$K$5:$K$10,MATCH(B33,'قیمت‌گذاری منو'!$A$5:$A$10,0)),0)</f>
        <v>79.8102857142857</v>
      </c>
      <c r="F33" s="31" t="n">
        <f aca="false">IFERROR(C33*INDEX('قیمت‌گذاری منو'!$M$5:$M$10,MATCH(B33,'قیمت‌گذاری منو'!$A$5:$A$10,0)),0)</f>
        <v>-23.157021978022</v>
      </c>
    </row>
    <row r="34" customFormat="false" ht="15" hidden="false" customHeight="false" outlineLevel="0" collapsed="false">
      <c r="A34" s="30" t="n">
        <v>46239</v>
      </c>
      <c r="B34" s="26" t="s">
        <v>137</v>
      </c>
      <c r="C34" s="26" t="n">
        <v>17</v>
      </c>
      <c r="D34" s="31" t="n">
        <f aca="false">IFERROR(C34*INDEX('قیمت‌گذاری منو'!$J$5:$J$10,MATCH(B34,'قیمت‌گذاری منو'!$A$5:$A$10,0)),0)</f>
        <v>59.5</v>
      </c>
      <c r="E34" s="31" t="n">
        <f aca="false">IFERROR(C34*INDEX('قیمت‌گذاری منو'!$K$5:$K$10,MATCH(B34,'قیمت‌گذاری منو'!$A$5:$A$10,0)),0)</f>
        <v>50.83</v>
      </c>
      <c r="F34" s="31" t="n">
        <f aca="false">IFERROR(C34*INDEX('قیمت‌گذاری منو'!$M$5:$M$10,MATCH(B34,'قیمت‌گذاری منو'!$A$5:$A$10,0)),0)</f>
        <v>-69.1017307692308</v>
      </c>
    </row>
    <row r="35" customFormat="false" ht="15" hidden="false" customHeight="false" outlineLevel="0" collapsed="false">
      <c r="A35" s="30" t="n">
        <v>46240</v>
      </c>
      <c r="B35" s="26" t="s">
        <v>124</v>
      </c>
      <c r="C35" s="26" t="n">
        <v>19</v>
      </c>
      <c r="D35" s="31" t="n">
        <f aca="false">IFERROR(C35*INDEX('قیمت‌گذاری منو'!$J$5:$J$10,MATCH(B35,'قیمت‌گذاری منو'!$A$5:$A$10,0)),0)</f>
        <v>283.1</v>
      </c>
      <c r="E35" s="31" t="n">
        <f aca="false">IFERROR(C35*INDEX('قیمت‌گذاری منو'!$K$5:$K$10,MATCH(B35,'قیمت‌گذاری منو'!$A$5:$A$10,0)),0)</f>
        <v>234.436193379195</v>
      </c>
      <c r="F35" s="31" t="n">
        <f aca="false">IFERROR(C35*INDEX('قیمت‌گذاری منو'!$M$5:$M$10,MATCH(B35,'قیمت‌گذاری منو'!$A$5:$A$10,0)),0)</f>
        <v>83.2948472253487</v>
      </c>
    </row>
    <row r="36" customFormat="false" ht="15" hidden="false" customHeight="false" outlineLevel="0" collapsed="false">
      <c r="A36" s="30" t="n">
        <v>46240</v>
      </c>
      <c r="B36" s="26" t="s">
        <v>128</v>
      </c>
      <c r="C36" s="26" t="n">
        <v>20</v>
      </c>
      <c r="D36" s="31" t="n">
        <f aca="false">IFERROR(C36*INDEX('قیمت‌گذاری منو'!$J$5:$J$10,MATCH(B36,'قیمت‌گذاری منو'!$A$5:$A$10,0)),0)</f>
        <v>338</v>
      </c>
      <c r="E36" s="31" t="n">
        <f aca="false">IFERROR(C36*INDEX('قیمت‌گذاری منو'!$K$5:$K$10,MATCH(B36,'قیمت‌گذاری منو'!$A$5:$A$10,0)),0)</f>
        <v>278.694245879348</v>
      </c>
      <c r="F36" s="31" t="n">
        <f aca="false">IFERROR(C36*INDEX('قیمت‌گذاری منو'!$M$5:$M$10,MATCH(B36,'قیمت‌گذاری منو'!$A$5:$A$10,0)),0)</f>
        <v>117.598092033194</v>
      </c>
    </row>
    <row r="37" customFormat="false" ht="15" hidden="false" customHeight="false" outlineLevel="0" collapsed="false">
      <c r="A37" s="30" t="n">
        <v>46240</v>
      </c>
      <c r="B37" s="26" t="s">
        <v>130</v>
      </c>
      <c r="C37" s="26" t="n">
        <v>12</v>
      </c>
      <c r="D37" s="31" t="n">
        <f aca="false">IFERROR(C37*INDEX('قیمت‌گذاری منو'!$J$5:$J$10,MATCH(B37,'قیمت‌گذاری منو'!$A$5:$A$10,0)),0)</f>
        <v>138</v>
      </c>
      <c r="E37" s="31" t="n">
        <f aca="false">IFERROR(C37*INDEX('قیمت‌گذاری منو'!$K$5:$K$10,MATCH(B37,'قیمت‌گذاری منو'!$A$5:$A$10,0)),0)</f>
        <v>121.719362805992</v>
      </c>
      <c r="F37" s="31" t="n">
        <f aca="false">IFERROR(C37*INDEX('قیمت‌گذاری منو'!$M$5:$M$10,MATCH(B37,'قیمت‌گذاری منو'!$A$5:$A$10,0)),0)</f>
        <v>19.0616704982997</v>
      </c>
    </row>
    <row r="38" customFormat="false" ht="15" hidden="false" customHeight="false" outlineLevel="0" collapsed="false">
      <c r="A38" s="30" t="n">
        <v>46240</v>
      </c>
      <c r="B38" s="26" t="s">
        <v>133</v>
      </c>
      <c r="C38" s="26" t="n">
        <v>19</v>
      </c>
      <c r="D38" s="31" t="n">
        <f aca="false">IFERROR(C38*INDEX('قیمت‌گذاری منو'!$J$5:$J$10,MATCH(B38,'قیمت‌گذاری منو'!$A$5:$A$10,0)),0)</f>
        <v>245.1</v>
      </c>
      <c r="E38" s="31" t="n">
        <f aca="false">IFERROR(C38*INDEX('قیمت‌گذاری منو'!$K$5:$K$10,MATCH(B38,'قیمت‌گذاری منو'!$A$5:$A$10,0)),0)</f>
        <v>223.253459053186</v>
      </c>
      <c r="F38" s="31" t="n">
        <f aca="false">IFERROR(C38*INDEX('قیمت‌گذاری منو'!$M$5:$M$10,MATCH(B38,'قیمت‌گذاری منو'!$A$5:$A$10,0)),0)</f>
        <v>66.4121128993403</v>
      </c>
    </row>
    <row r="39" customFormat="false" ht="15" hidden="false" customHeight="false" outlineLevel="0" collapsed="false">
      <c r="A39" s="30" t="n">
        <v>46240</v>
      </c>
      <c r="B39" s="26" t="s">
        <v>135</v>
      </c>
      <c r="C39" s="26" t="n">
        <v>7</v>
      </c>
      <c r="D39" s="31" t="n">
        <f aca="false">IFERROR(C39*INDEX('قیمت‌گذاری منو'!$J$5:$J$10,MATCH(B39,'قیمت‌گذاری منو'!$A$5:$A$10,0)),0)</f>
        <v>45.5</v>
      </c>
      <c r="E39" s="31" t="n">
        <f aca="false">IFERROR(C39*INDEX('قیمت‌گذاری منو'!$K$5:$K$10,MATCH(B39,'قیمت‌گذاری منو'!$A$5:$A$10,0)),0)</f>
        <v>39.9051428571429</v>
      </c>
      <c r="F39" s="31" t="n">
        <f aca="false">IFERROR(C39*INDEX('قیمت‌گذاری منو'!$M$5:$M$10,MATCH(B39,'قیمت‌گذاری منو'!$A$5:$A$10,0)),0)</f>
        <v>-11.578510989011</v>
      </c>
    </row>
    <row r="40" customFormat="false" ht="15" hidden="false" customHeight="false" outlineLevel="0" collapsed="false">
      <c r="A40" s="30" t="n">
        <v>46240</v>
      </c>
      <c r="B40" s="26" t="s">
        <v>137</v>
      </c>
      <c r="C40" s="26" t="n">
        <v>9</v>
      </c>
      <c r="D40" s="31" t="n">
        <f aca="false">IFERROR(C40*INDEX('قیمت‌گذاری منو'!$J$5:$J$10,MATCH(B40,'قیمت‌گذاری منو'!$A$5:$A$10,0)),0)</f>
        <v>31.5</v>
      </c>
      <c r="E40" s="31" t="n">
        <f aca="false">IFERROR(C40*INDEX('قیمت‌گذاری منو'!$K$5:$K$10,MATCH(B40,'قیمت‌گذاری منو'!$A$5:$A$10,0)),0)</f>
        <v>26.91</v>
      </c>
      <c r="F40" s="31" t="n">
        <f aca="false">IFERROR(C40*INDEX('قیمت‌گذاری منو'!$M$5:$M$10,MATCH(B40,'قیمت‌گذاری منو'!$A$5:$A$10,0)),0)</f>
        <v>-36.5832692307692</v>
      </c>
    </row>
    <row r="41" customFormat="false" ht="15" hidden="false" customHeight="false" outlineLevel="0" collapsed="false">
      <c r="A41" s="30" t="n">
        <v>46241</v>
      </c>
      <c r="B41" s="26" t="s">
        <v>124</v>
      </c>
      <c r="C41" s="26" t="n">
        <v>15</v>
      </c>
      <c r="D41" s="31" t="n">
        <f aca="false">IFERROR(C41*INDEX('قیمت‌گذاری منو'!$J$5:$J$10,MATCH(B41,'قیمت‌گذاری منو'!$A$5:$A$10,0)),0)</f>
        <v>223.5</v>
      </c>
      <c r="E41" s="31" t="n">
        <f aca="false">IFERROR(C41*INDEX('قیمت‌گذاری منو'!$K$5:$K$10,MATCH(B41,'قیمت‌گذاری منو'!$A$5:$A$10,0)),0)</f>
        <v>185.081205299364</v>
      </c>
      <c r="F41" s="31" t="n">
        <f aca="false">IFERROR(C41*INDEX('قیمت‌گذاری منو'!$M$5:$M$10,MATCH(B41,'قیمت‌گذاری منو'!$A$5:$A$10,0)),0)</f>
        <v>65.759089914749</v>
      </c>
    </row>
    <row r="42" customFormat="false" ht="15" hidden="false" customHeight="false" outlineLevel="0" collapsed="false">
      <c r="A42" s="30" t="n">
        <v>46241</v>
      </c>
      <c r="B42" s="26" t="s">
        <v>128</v>
      </c>
      <c r="C42" s="26" t="n">
        <v>28</v>
      </c>
      <c r="D42" s="31" t="n">
        <f aca="false">IFERROR(C42*INDEX('قیمت‌گذاری منو'!$J$5:$J$10,MATCH(B42,'قیمت‌گذاری منو'!$A$5:$A$10,0)),0)</f>
        <v>473.2</v>
      </c>
      <c r="E42" s="31" t="n">
        <f aca="false">IFERROR(C42*INDEX('قیمت‌گذاری منو'!$K$5:$K$10,MATCH(B42,'قیمت‌گذاری منو'!$A$5:$A$10,0)),0)</f>
        <v>390.171944231087</v>
      </c>
      <c r="F42" s="31" t="n">
        <f aca="false">IFERROR(C42*INDEX('قیمت‌گذاری منو'!$M$5:$M$10,MATCH(B42,'قیمت‌گذاری منو'!$A$5:$A$10,0)),0)</f>
        <v>164.637328846472</v>
      </c>
    </row>
    <row r="43" customFormat="false" ht="15" hidden="false" customHeight="false" outlineLevel="0" collapsed="false">
      <c r="A43" s="30" t="n">
        <v>46241</v>
      </c>
      <c r="B43" s="26" t="s">
        <v>130</v>
      </c>
      <c r="C43" s="26" t="n">
        <v>11</v>
      </c>
      <c r="D43" s="31" t="n">
        <f aca="false">IFERROR(C43*INDEX('قیمت‌گذاری منو'!$J$5:$J$10,MATCH(B43,'قیمت‌گذاری منو'!$A$5:$A$10,0)),0)</f>
        <v>126.5</v>
      </c>
      <c r="E43" s="31" t="n">
        <f aca="false">IFERROR(C43*INDEX('قیمت‌گذاری منو'!$K$5:$K$10,MATCH(B43,'قیمت‌گذاری منو'!$A$5:$A$10,0)),0)</f>
        <v>111.576082572159</v>
      </c>
      <c r="F43" s="31" t="n">
        <f aca="false">IFERROR(C43*INDEX('قیمت‌گذاری منو'!$M$5:$M$10,MATCH(B43,'قیمت‌گذاری منو'!$A$5:$A$10,0)),0)</f>
        <v>17.4731979567747</v>
      </c>
    </row>
    <row r="44" customFormat="false" ht="15" hidden="false" customHeight="false" outlineLevel="0" collapsed="false">
      <c r="A44" s="30" t="n">
        <v>46241</v>
      </c>
      <c r="B44" s="26" t="s">
        <v>133</v>
      </c>
      <c r="C44" s="26" t="n">
        <v>15</v>
      </c>
      <c r="D44" s="31" t="n">
        <f aca="false">IFERROR(C44*INDEX('قیمت‌گذاری منو'!$J$5:$J$10,MATCH(B44,'قیمت‌گذاری منو'!$A$5:$A$10,0)),0)</f>
        <v>193.5</v>
      </c>
      <c r="E44" s="31" t="n">
        <f aca="false">IFERROR(C44*INDEX('قیمت‌گذاری منو'!$K$5:$K$10,MATCH(B44,'قیمت‌گذاری منو'!$A$5:$A$10,0)),0)</f>
        <v>176.252730831463</v>
      </c>
      <c r="F44" s="31" t="n">
        <f aca="false">IFERROR(C44*INDEX('قیمت‌گذاری منو'!$M$5:$M$10,MATCH(B44,'قیمت‌گذاری منو'!$A$5:$A$10,0)),0)</f>
        <v>52.4306154468476</v>
      </c>
    </row>
    <row r="45" customFormat="false" ht="15" hidden="false" customHeight="false" outlineLevel="0" collapsed="false">
      <c r="A45" s="30" t="n">
        <v>46241</v>
      </c>
      <c r="B45" s="26" t="s">
        <v>135</v>
      </c>
      <c r="C45" s="26" t="n">
        <v>7</v>
      </c>
      <c r="D45" s="31" t="n">
        <f aca="false">IFERROR(C45*INDEX('قیمت‌گذاری منو'!$J$5:$J$10,MATCH(B45,'قیمت‌گذاری منو'!$A$5:$A$10,0)),0)</f>
        <v>45.5</v>
      </c>
      <c r="E45" s="31" t="n">
        <f aca="false">IFERROR(C45*INDEX('قیمت‌گذاری منو'!$K$5:$K$10,MATCH(B45,'قیمت‌گذاری منو'!$A$5:$A$10,0)),0)</f>
        <v>39.9051428571429</v>
      </c>
      <c r="F45" s="31" t="n">
        <f aca="false">IFERROR(C45*INDEX('قیمت‌گذاری منو'!$M$5:$M$10,MATCH(B45,'قیمت‌گذاری منو'!$A$5:$A$10,0)),0)</f>
        <v>-11.578510989011</v>
      </c>
    </row>
    <row r="46" customFormat="false" ht="15" hidden="false" customHeight="false" outlineLevel="0" collapsed="false">
      <c r="A46" s="30" t="n">
        <v>46241</v>
      </c>
      <c r="B46" s="26" t="s">
        <v>137</v>
      </c>
      <c r="C46" s="26" t="n">
        <v>11</v>
      </c>
      <c r="D46" s="31" t="n">
        <f aca="false">IFERROR(C46*INDEX('قیمت‌گذاری منو'!$J$5:$J$10,MATCH(B46,'قیمت‌گذاری منو'!$A$5:$A$10,0)),0)</f>
        <v>38.5</v>
      </c>
      <c r="E46" s="31" t="n">
        <f aca="false">IFERROR(C46*INDEX('قیمت‌گذاری منو'!$K$5:$K$10,MATCH(B46,'قیمت‌گذاری منو'!$A$5:$A$10,0)),0)</f>
        <v>32.89</v>
      </c>
      <c r="F46" s="31" t="n">
        <f aca="false">IFERROR(C46*INDEX('قیمت‌گذاری منو'!$M$5:$M$10,MATCH(B46,'قیمت‌گذاری منو'!$A$5:$A$10,0)),0)</f>
        <v>-44.7128846153846</v>
      </c>
    </row>
    <row r="47" customFormat="false" ht="15" hidden="false" customHeight="false" outlineLevel="0" collapsed="false">
      <c r="A47" s="30" t="n">
        <v>46242</v>
      </c>
      <c r="B47" s="26" t="s">
        <v>124</v>
      </c>
      <c r="C47" s="26" t="n">
        <v>16</v>
      </c>
      <c r="D47" s="31" t="n">
        <f aca="false">IFERROR(C47*INDEX('قیمت‌گذاری منو'!$J$5:$J$10,MATCH(B47,'قیمت‌گذاری منو'!$A$5:$A$10,0)),0)</f>
        <v>238.4</v>
      </c>
      <c r="E47" s="31" t="n">
        <f aca="false">IFERROR(C47*INDEX('قیمت‌گذاری منو'!$K$5:$K$10,MATCH(B47,'قیمت‌گذاری منو'!$A$5:$A$10,0)),0)</f>
        <v>197.419952319322</v>
      </c>
      <c r="F47" s="31" t="n">
        <f aca="false">IFERROR(C47*INDEX('قیمت‌گذاری منو'!$M$5:$M$10,MATCH(B47,'قیمت‌گذاری منو'!$A$5:$A$10,0)),0)</f>
        <v>70.1430292423989</v>
      </c>
    </row>
    <row r="48" customFormat="false" ht="15" hidden="false" customHeight="false" outlineLevel="0" collapsed="false">
      <c r="A48" s="30" t="n">
        <v>46242</v>
      </c>
      <c r="B48" s="26" t="s">
        <v>128</v>
      </c>
      <c r="C48" s="26" t="n">
        <v>22</v>
      </c>
      <c r="D48" s="31" t="n">
        <f aca="false">IFERROR(C48*INDEX('قیمت‌گذاری منو'!$J$5:$J$10,MATCH(B48,'قیمت‌گذاری منو'!$A$5:$A$10,0)),0)</f>
        <v>371.8</v>
      </c>
      <c r="E48" s="31" t="n">
        <f aca="false">IFERROR(C48*INDEX('قیمت‌گذاری منو'!$K$5:$K$10,MATCH(B48,'قیمت‌گذاری منو'!$A$5:$A$10,0)),0)</f>
        <v>306.563670467283</v>
      </c>
      <c r="F48" s="31" t="n">
        <f aca="false">IFERROR(C48*INDEX('قیمت‌گذاری منو'!$M$5:$M$10,MATCH(B48,'قیمت‌گذاری منو'!$A$5:$A$10,0)),0)</f>
        <v>129.357901236513</v>
      </c>
    </row>
    <row r="49" customFormat="false" ht="15" hidden="false" customHeight="false" outlineLevel="0" collapsed="false">
      <c r="A49" s="30" t="n">
        <v>46242</v>
      </c>
      <c r="B49" s="26" t="s">
        <v>130</v>
      </c>
      <c r="C49" s="26" t="n">
        <v>6</v>
      </c>
      <c r="D49" s="31" t="n">
        <f aca="false">IFERROR(C49*INDEX('قیمت‌گذاری منو'!$J$5:$J$10,MATCH(B49,'قیمت‌گذاری منو'!$A$5:$A$10,0)),0)</f>
        <v>69</v>
      </c>
      <c r="E49" s="31" t="n">
        <f aca="false">IFERROR(C49*INDEX('قیمت‌گذاری منو'!$K$5:$K$10,MATCH(B49,'قیمت‌گذاری منو'!$A$5:$A$10,0)),0)</f>
        <v>60.859681402996</v>
      </c>
      <c r="F49" s="31" t="n">
        <f aca="false">IFERROR(C49*INDEX('قیمت‌گذاری منو'!$M$5:$M$10,MATCH(B49,'قیمت‌گذاری منو'!$A$5:$A$10,0)),0)</f>
        <v>9.53083524914983</v>
      </c>
    </row>
    <row r="50" customFormat="false" ht="15" hidden="false" customHeight="false" outlineLevel="0" collapsed="false">
      <c r="A50" s="30" t="n">
        <v>46242</v>
      </c>
      <c r="B50" s="26" t="s">
        <v>133</v>
      </c>
      <c r="C50" s="26" t="n">
        <v>11</v>
      </c>
      <c r="D50" s="31" t="n">
        <f aca="false">IFERROR(C50*INDEX('قیمت‌گذاری منو'!$J$5:$J$10,MATCH(B50,'قیمت‌گذاری منو'!$A$5:$A$10,0)),0)</f>
        <v>141.9</v>
      </c>
      <c r="E50" s="31" t="n">
        <f aca="false">IFERROR(C50*INDEX('قیمت‌گذاری منو'!$K$5:$K$10,MATCH(B50,'قیمت‌گذاری منو'!$A$5:$A$10,0)),0)</f>
        <v>129.25200260974</v>
      </c>
      <c r="F50" s="31" t="n">
        <f aca="false">IFERROR(C50*INDEX('قیمت‌گذاری منو'!$M$5:$M$10,MATCH(B50,'قیمت‌گذاری منو'!$A$5:$A$10,0)),0)</f>
        <v>38.4491179943549</v>
      </c>
    </row>
    <row r="51" customFormat="false" ht="15" hidden="false" customHeight="false" outlineLevel="0" collapsed="false">
      <c r="A51" s="30" t="n">
        <v>46242</v>
      </c>
      <c r="B51" s="26" t="s">
        <v>135</v>
      </c>
      <c r="C51" s="26" t="n">
        <v>9</v>
      </c>
      <c r="D51" s="31" t="n">
        <f aca="false">IFERROR(C51*INDEX('قیمت‌گذاری منو'!$J$5:$J$10,MATCH(B51,'قیمت‌گذاری منو'!$A$5:$A$10,0)),0)</f>
        <v>58.5</v>
      </c>
      <c r="E51" s="31" t="n">
        <f aca="false">IFERROR(C51*INDEX('قیمت‌گذاری منو'!$K$5:$K$10,MATCH(B51,'قیمت‌گذاری منو'!$A$5:$A$10,0)),0)</f>
        <v>51.306612244898</v>
      </c>
      <c r="F51" s="31" t="n">
        <f aca="false">IFERROR(C51*INDEX('قیمت‌گذاری منو'!$M$5:$M$10,MATCH(B51,'قیمت‌گذاری منو'!$A$5:$A$10,0)),0)</f>
        <v>-14.8866569858713</v>
      </c>
    </row>
    <row r="52" customFormat="false" ht="15" hidden="false" customHeight="false" outlineLevel="0" collapsed="false">
      <c r="A52" s="30" t="n">
        <v>46242</v>
      </c>
      <c r="B52" s="26" t="s">
        <v>137</v>
      </c>
      <c r="C52" s="26" t="n">
        <v>10</v>
      </c>
      <c r="D52" s="31" t="n">
        <f aca="false">IFERROR(C52*INDEX('قیمت‌گذاری منو'!$J$5:$J$10,MATCH(B52,'قیمت‌گذاری منو'!$A$5:$A$10,0)),0)</f>
        <v>35</v>
      </c>
      <c r="E52" s="31" t="n">
        <f aca="false">IFERROR(C52*INDEX('قیمت‌گذاری منو'!$K$5:$K$10,MATCH(B52,'قیمت‌گذاری منو'!$A$5:$A$10,0)),0)</f>
        <v>29.9</v>
      </c>
      <c r="F52" s="31" t="n">
        <f aca="false">IFERROR(C52*INDEX('قیمت‌گذاری منو'!$M$5:$M$10,MATCH(B52,'قیمت‌گذاری منو'!$A$5:$A$10,0)),0)</f>
        <v>-40.6480769230769</v>
      </c>
    </row>
    <row r="53" customFormat="false" ht="15" hidden="false" customHeight="false" outlineLevel="0" collapsed="false">
      <c r="A53" s="30" t="n">
        <v>46243</v>
      </c>
      <c r="B53" s="26" t="s">
        <v>124</v>
      </c>
      <c r="C53" s="26" t="n">
        <v>18</v>
      </c>
      <c r="D53" s="31" t="n">
        <f aca="false">IFERROR(C53*INDEX('قیمت‌گذاری منو'!$J$5:$J$10,MATCH(B53,'قیمت‌گذاری منو'!$A$5:$A$10,0)),0)</f>
        <v>268.2</v>
      </c>
      <c r="E53" s="31" t="n">
        <f aca="false">IFERROR(C53*INDEX('قیمت‌گذاری منو'!$K$5:$K$10,MATCH(B53,'قیمت‌گذاری منو'!$A$5:$A$10,0)),0)</f>
        <v>222.097446359237</v>
      </c>
      <c r="F53" s="31" t="n">
        <f aca="false">IFERROR(C53*INDEX('قیمت‌گذاری منو'!$M$5:$M$10,MATCH(B53,'قیمت‌گذاری منو'!$A$5:$A$10,0)),0)</f>
        <v>78.9109078976988</v>
      </c>
    </row>
    <row r="54" customFormat="false" ht="15" hidden="false" customHeight="false" outlineLevel="0" collapsed="false">
      <c r="A54" s="30" t="n">
        <v>46243</v>
      </c>
      <c r="B54" s="26" t="s">
        <v>128</v>
      </c>
      <c r="C54" s="26" t="n">
        <v>22</v>
      </c>
      <c r="D54" s="31" t="n">
        <f aca="false">IFERROR(C54*INDEX('قیمت‌گذاری منو'!$J$5:$J$10,MATCH(B54,'قیمت‌گذاری منو'!$A$5:$A$10,0)),0)</f>
        <v>371.8</v>
      </c>
      <c r="E54" s="31" t="n">
        <f aca="false">IFERROR(C54*INDEX('قیمت‌گذاری منو'!$K$5:$K$10,MATCH(B54,'قیمت‌گذاری منو'!$A$5:$A$10,0)),0)</f>
        <v>306.563670467283</v>
      </c>
      <c r="F54" s="31" t="n">
        <f aca="false">IFERROR(C54*INDEX('قیمت‌گذاری منو'!$M$5:$M$10,MATCH(B54,'قیمت‌گذاری منو'!$A$5:$A$10,0)),0)</f>
        <v>129.357901236513</v>
      </c>
    </row>
    <row r="55" customFormat="false" ht="15" hidden="false" customHeight="false" outlineLevel="0" collapsed="false">
      <c r="A55" s="30" t="n">
        <v>46243</v>
      </c>
      <c r="B55" s="26" t="s">
        <v>130</v>
      </c>
      <c r="C55" s="26" t="n">
        <v>14</v>
      </c>
      <c r="D55" s="31" t="n">
        <f aca="false">IFERROR(C55*INDEX('قیمت‌گذاری منو'!$J$5:$J$10,MATCH(B55,'قیمت‌گذاری منو'!$A$5:$A$10,0)),0)</f>
        <v>161</v>
      </c>
      <c r="E55" s="31" t="n">
        <f aca="false">IFERROR(C55*INDEX('قیمت‌گذاری منو'!$K$5:$K$10,MATCH(B55,'قیمت‌گذاری منو'!$A$5:$A$10,0)),0)</f>
        <v>142.005923273657</v>
      </c>
      <c r="F55" s="31" t="n">
        <f aca="false">IFERROR(C55*INDEX('قیمت‌گذاری منو'!$M$5:$M$10,MATCH(B55,'قیمت‌گذاری منو'!$A$5:$A$10,0)),0)</f>
        <v>22.2386155813496</v>
      </c>
    </row>
    <row r="56" customFormat="false" ht="15" hidden="false" customHeight="false" outlineLevel="0" collapsed="false">
      <c r="A56" s="30" t="n">
        <v>46243</v>
      </c>
      <c r="B56" s="26" t="s">
        <v>133</v>
      </c>
      <c r="C56" s="26" t="n">
        <v>14</v>
      </c>
      <c r="D56" s="31" t="n">
        <f aca="false">IFERROR(C56*INDEX('قیمت‌گذاری منو'!$J$5:$J$10,MATCH(B56,'قیمت‌گذاری منو'!$A$5:$A$10,0)),0)</f>
        <v>180.6</v>
      </c>
      <c r="E56" s="31" t="n">
        <f aca="false">IFERROR(C56*INDEX('قیمت‌گذاری منو'!$K$5:$K$10,MATCH(B56,'قیمت‌گذاری منو'!$A$5:$A$10,0)),0)</f>
        <v>164.502548776032</v>
      </c>
      <c r="F56" s="31" t="n">
        <f aca="false">IFERROR(C56*INDEX('قیمت‌گذاری منو'!$M$5:$M$10,MATCH(B56,'قیمت‌گذاری منو'!$A$5:$A$10,0)),0)</f>
        <v>48.9352410837245</v>
      </c>
    </row>
    <row r="57" customFormat="false" ht="15" hidden="false" customHeight="false" outlineLevel="0" collapsed="false">
      <c r="A57" s="30" t="n">
        <v>46243</v>
      </c>
      <c r="B57" s="26" t="s">
        <v>135</v>
      </c>
      <c r="C57" s="26" t="n">
        <v>3</v>
      </c>
      <c r="D57" s="31" t="n">
        <f aca="false">IFERROR(C57*INDEX('قیمت‌گذاری منو'!$J$5:$J$10,MATCH(B57,'قیمت‌گذاری منو'!$A$5:$A$10,0)),0)</f>
        <v>19.5</v>
      </c>
      <c r="E57" s="31" t="n">
        <f aca="false">IFERROR(C57*INDEX('قیمت‌گذاری منو'!$K$5:$K$10,MATCH(B57,'قیمت‌گذاری منو'!$A$5:$A$10,0)),0)</f>
        <v>17.1022040816327</v>
      </c>
      <c r="F57" s="31" t="n">
        <f aca="false">IFERROR(C57*INDEX('قیمت‌گذاری منو'!$M$5:$M$10,MATCH(B57,'قیمت‌گذاری منو'!$A$5:$A$10,0)),0)</f>
        <v>-4.96221899529042</v>
      </c>
    </row>
    <row r="58" customFormat="false" ht="15" hidden="false" customHeight="false" outlineLevel="0" collapsed="false">
      <c r="A58" s="30" t="n">
        <v>46243</v>
      </c>
      <c r="B58" s="26" t="s">
        <v>137</v>
      </c>
      <c r="C58" s="26" t="n">
        <v>20</v>
      </c>
      <c r="D58" s="31" t="n">
        <f aca="false">IFERROR(C58*INDEX('قیمت‌گذاری منو'!$J$5:$J$10,MATCH(B58,'قیمت‌گذاری منو'!$A$5:$A$10,0)),0)</f>
        <v>70</v>
      </c>
      <c r="E58" s="31" t="n">
        <f aca="false">IFERROR(C58*INDEX('قیمت‌گذاری منو'!$K$5:$K$10,MATCH(B58,'قیمت‌گذاری منو'!$A$5:$A$10,0)),0)</f>
        <v>59.8</v>
      </c>
      <c r="F58" s="31" t="n">
        <f aca="false">IFERROR(C58*INDEX('قیمت‌گذاری منو'!$M$5:$M$10,MATCH(B58,'قیمت‌گذاری منو'!$A$5:$A$10,0)),0)</f>
        <v>-81.2961538461538</v>
      </c>
    </row>
    <row r="59" customFormat="false" ht="15" hidden="false" customHeight="false" outlineLevel="0" collapsed="false">
      <c r="A59" s="30" t="n">
        <v>46244</v>
      </c>
      <c r="B59" s="26" t="s">
        <v>124</v>
      </c>
      <c r="C59" s="26" t="n">
        <v>20</v>
      </c>
      <c r="D59" s="31" t="n">
        <f aca="false">IFERROR(C59*INDEX('قیمت‌گذاری منو'!$J$5:$J$10,MATCH(B59,'قیمت‌گذاری منو'!$A$5:$A$10,0)),0)</f>
        <v>298</v>
      </c>
      <c r="E59" s="31" t="n">
        <f aca="false">IFERROR(C59*INDEX('قیمت‌گذاری منو'!$K$5:$K$10,MATCH(B59,'قیمت‌گذاری منو'!$A$5:$A$10,0)),0)</f>
        <v>246.774940399152</v>
      </c>
      <c r="F59" s="31" t="n">
        <f aca="false">IFERROR(C59*INDEX('قیمت‌گذاری منو'!$M$5:$M$10,MATCH(B59,'قیمت‌گذاری منو'!$A$5:$A$10,0)),0)</f>
        <v>87.6787865529986</v>
      </c>
    </row>
    <row r="60" customFormat="false" ht="15" hidden="false" customHeight="false" outlineLevel="0" collapsed="false">
      <c r="A60" s="30" t="n">
        <v>46244</v>
      </c>
      <c r="B60" s="26" t="s">
        <v>128</v>
      </c>
      <c r="C60" s="26" t="n">
        <v>25</v>
      </c>
      <c r="D60" s="31" t="n">
        <f aca="false">IFERROR(C60*INDEX('قیمت‌گذاری منو'!$J$5:$J$10,MATCH(B60,'قیمت‌گذاری منو'!$A$5:$A$10,0)),0)</f>
        <v>422.5</v>
      </c>
      <c r="E60" s="31" t="n">
        <f aca="false">IFERROR(C60*INDEX('قیمت‌گذاری منو'!$K$5:$K$10,MATCH(B60,'قیمت‌گذاری منو'!$A$5:$A$10,0)),0)</f>
        <v>348.367807349185</v>
      </c>
      <c r="F60" s="31" t="n">
        <f aca="false">IFERROR(C60*INDEX('قیمت‌گذاری منو'!$M$5:$M$10,MATCH(B60,'قیمت‌گذاری منو'!$A$5:$A$10,0)),0)</f>
        <v>146.997615041492</v>
      </c>
    </row>
    <row r="61" customFormat="false" ht="15" hidden="false" customHeight="false" outlineLevel="0" collapsed="false">
      <c r="A61" s="30" t="n">
        <v>46244</v>
      </c>
      <c r="B61" s="26" t="s">
        <v>130</v>
      </c>
      <c r="C61" s="26" t="n">
        <v>6</v>
      </c>
      <c r="D61" s="31" t="n">
        <f aca="false">IFERROR(C61*INDEX('قیمت‌گذاری منو'!$J$5:$J$10,MATCH(B61,'قیمت‌گذاری منو'!$A$5:$A$10,0)),0)</f>
        <v>69</v>
      </c>
      <c r="E61" s="31" t="n">
        <f aca="false">IFERROR(C61*INDEX('قیمت‌گذاری منو'!$K$5:$K$10,MATCH(B61,'قیمت‌گذاری منو'!$A$5:$A$10,0)),0)</f>
        <v>60.859681402996</v>
      </c>
      <c r="F61" s="31" t="n">
        <f aca="false">IFERROR(C61*INDEX('قیمت‌گذاری منو'!$M$5:$M$10,MATCH(B61,'قیمت‌گذاری منو'!$A$5:$A$10,0)),0)</f>
        <v>9.53083524914983</v>
      </c>
    </row>
    <row r="62" customFormat="false" ht="15" hidden="false" customHeight="false" outlineLevel="0" collapsed="false">
      <c r="A62" s="30" t="n">
        <v>46244</v>
      </c>
      <c r="B62" s="26" t="s">
        <v>133</v>
      </c>
      <c r="C62" s="26" t="n">
        <v>16</v>
      </c>
      <c r="D62" s="31" t="n">
        <f aca="false">IFERROR(C62*INDEX('قیمت‌گذاری منو'!$J$5:$J$10,MATCH(B62,'قیمت‌گذاری منو'!$A$5:$A$10,0)),0)</f>
        <v>206.4</v>
      </c>
      <c r="E62" s="31" t="n">
        <f aca="false">IFERROR(C62*INDEX('قیمت‌گذاری منو'!$K$5:$K$10,MATCH(B62,'قیمت‌گذاری منو'!$A$5:$A$10,0)),0)</f>
        <v>188.002912886894</v>
      </c>
      <c r="F62" s="31" t="n">
        <f aca="false">IFERROR(C62*INDEX('قیمت‌گذاری منو'!$M$5:$M$10,MATCH(B62,'قیمت‌گذاری منو'!$A$5:$A$10,0)),0)</f>
        <v>55.9259898099708</v>
      </c>
    </row>
    <row r="63" customFormat="false" ht="15" hidden="false" customHeight="false" outlineLevel="0" collapsed="false">
      <c r="A63" s="30" t="n">
        <v>46244</v>
      </c>
      <c r="B63" s="26" t="s">
        <v>135</v>
      </c>
      <c r="C63" s="26" t="n">
        <v>4</v>
      </c>
      <c r="D63" s="31" t="n">
        <f aca="false">IFERROR(C63*INDEX('قیمت‌گذاری منو'!$J$5:$J$10,MATCH(B63,'قیمت‌گذاری منو'!$A$5:$A$10,0)),0)</f>
        <v>26</v>
      </c>
      <c r="E63" s="31" t="n">
        <f aca="false">IFERROR(C63*INDEX('قیمت‌گذاری منو'!$K$5:$K$10,MATCH(B63,'قیمت‌گذاری منو'!$A$5:$A$10,0)),0)</f>
        <v>22.8029387755102</v>
      </c>
      <c r="F63" s="31" t="n">
        <f aca="false">IFERROR(C63*INDEX('قیمت‌گذاری منو'!$M$5:$M$10,MATCH(B63,'قیمت‌گذاری منو'!$A$5:$A$10,0)),0)</f>
        <v>-6.61629199372057</v>
      </c>
    </row>
    <row r="64" customFormat="false" ht="15" hidden="false" customHeight="false" outlineLevel="0" collapsed="false">
      <c r="A64" s="30" t="n">
        <v>46244</v>
      </c>
      <c r="B64" s="26" t="s">
        <v>137</v>
      </c>
      <c r="C64" s="26" t="n">
        <v>17</v>
      </c>
      <c r="D64" s="31" t="n">
        <f aca="false">IFERROR(C64*INDEX('قیمت‌گذاری منو'!$J$5:$J$10,MATCH(B64,'قیمت‌گذاری منو'!$A$5:$A$10,0)),0)</f>
        <v>59.5</v>
      </c>
      <c r="E64" s="31" t="n">
        <f aca="false">IFERROR(C64*INDEX('قیمت‌گذاری منو'!$K$5:$K$10,MATCH(B64,'قیمت‌گذاری منو'!$A$5:$A$10,0)),0)</f>
        <v>50.83</v>
      </c>
      <c r="F64" s="31" t="n">
        <f aca="false">IFERROR(C64*INDEX('قیمت‌گذاری منو'!$M$5:$M$10,MATCH(B64,'قیمت‌گذاری منو'!$A$5:$A$10,0)),0)</f>
        <v>-69.1017307692308</v>
      </c>
    </row>
    <row r="65" customFormat="false" ht="15" hidden="false" customHeight="false" outlineLevel="0" collapsed="false">
      <c r="A65" s="30" t="n">
        <v>46245</v>
      </c>
      <c r="B65" s="26" t="s">
        <v>124</v>
      </c>
      <c r="C65" s="26" t="n">
        <v>17</v>
      </c>
      <c r="D65" s="31" t="n">
        <f aca="false">IFERROR(C65*INDEX('قیمت‌گذاری منو'!$J$5:$J$10,MATCH(B65,'قیمت‌گذاری منو'!$A$5:$A$10,0)),0)</f>
        <v>253.3</v>
      </c>
      <c r="E65" s="31" t="n">
        <f aca="false">IFERROR(C65*INDEX('قیمت‌گذاری منو'!$K$5:$K$10,MATCH(B65,'قیمت‌گذاری منو'!$A$5:$A$10,0)),0)</f>
        <v>209.75869933928</v>
      </c>
      <c r="F65" s="31" t="n">
        <f aca="false">IFERROR(C65*INDEX('قیمت‌گذاری منو'!$M$5:$M$10,MATCH(B65,'قیمت‌گذاری منو'!$A$5:$A$10,0)),0)</f>
        <v>74.5269685700488</v>
      </c>
    </row>
    <row r="66" customFormat="false" ht="15" hidden="false" customHeight="false" outlineLevel="0" collapsed="false">
      <c r="A66" s="30" t="n">
        <v>46245</v>
      </c>
      <c r="B66" s="26" t="s">
        <v>128</v>
      </c>
      <c r="C66" s="26" t="n">
        <v>27</v>
      </c>
      <c r="D66" s="31" t="n">
        <f aca="false">IFERROR(C66*INDEX('قیمت‌گذاری منو'!$J$5:$J$10,MATCH(B66,'قیمت‌گذاری منو'!$A$5:$A$10,0)),0)</f>
        <v>456.3</v>
      </c>
      <c r="E66" s="31" t="n">
        <f aca="false">IFERROR(C66*INDEX('قیمت‌گذاری منو'!$K$5:$K$10,MATCH(B66,'قیمت‌گذاری منو'!$A$5:$A$10,0)),0)</f>
        <v>376.23723193712</v>
      </c>
      <c r="F66" s="31" t="n">
        <f aca="false">IFERROR(C66*INDEX('قیمت‌گذاری منو'!$M$5:$M$10,MATCH(B66,'قیمت‌گذاری منو'!$A$5:$A$10,0)),0)</f>
        <v>158.757424244812</v>
      </c>
    </row>
    <row r="67" customFormat="false" ht="15" hidden="false" customHeight="false" outlineLevel="0" collapsed="false">
      <c r="A67" s="30" t="n">
        <v>46245</v>
      </c>
      <c r="B67" s="26" t="s">
        <v>130</v>
      </c>
      <c r="C67" s="26" t="n">
        <v>14</v>
      </c>
      <c r="D67" s="31" t="n">
        <f aca="false">IFERROR(C67*INDEX('قیمت‌گذاری منو'!$J$5:$J$10,MATCH(B67,'قیمت‌گذاری منو'!$A$5:$A$10,0)),0)</f>
        <v>161</v>
      </c>
      <c r="E67" s="31" t="n">
        <f aca="false">IFERROR(C67*INDEX('قیمت‌گذاری منو'!$K$5:$K$10,MATCH(B67,'قیمت‌گذاری منو'!$A$5:$A$10,0)),0)</f>
        <v>142.005923273657</v>
      </c>
      <c r="F67" s="31" t="n">
        <f aca="false">IFERROR(C67*INDEX('قیمت‌گذاری منو'!$M$5:$M$10,MATCH(B67,'قیمت‌گذاری منو'!$A$5:$A$10,0)),0)</f>
        <v>22.2386155813496</v>
      </c>
    </row>
    <row r="68" customFormat="false" ht="15" hidden="false" customHeight="false" outlineLevel="0" collapsed="false">
      <c r="A68" s="30" t="n">
        <v>46245</v>
      </c>
      <c r="B68" s="26" t="s">
        <v>133</v>
      </c>
      <c r="C68" s="26" t="n">
        <v>15</v>
      </c>
      <c r="D68" s="31" t="n">
        <f aca="false">IFERROR(C68*INDEX('قیمت‌گذاری منو'!$J$5:$J$10,MATCH(B68,'قیمت‌گذاری منو'!$A$5:$A$10,0)),0)</f>
        <v>193.5</v>
      </c>
      <c r="E68" s="31" t="n">
        <f aca="false">IFERROR(C68*INDEX('قیمت‌گذاری منو'!$K$5:$K$10,MATCH(B68,'قیمت‌گذاری منو'!$A$5:$A$10,0)),0)</f>
        <v>176.252730831463</v>
      </c>
      <c r="F68" s="31" t="n">
        <f aca="false">IFERROR(C68*INDEX('قیمت‌گذاری منو'!$M$5:$M$10,MATCH(B68,'قیمت‌گذاری منو'!$A$5:$A$10,0)),0)</f>
        <v>52.4306154468476</v>
      </c>
    </row>
    <row r="69" customFormat="false" ht="15" hidden="false" customHeight="false" outlineLevel="0" collapsed="false">
      <c r="A69" s="30" t="n">
        <v>46245</v>
      </c>
      <c r="B69" s="26" t="s">
        <v>135</v>
      </c>
      <c r="C69" s="26" t="n">
        <v>12</v>
      </c>
      <c r="D69" s="31" t="n">
        <f aca="false">IFERROR(C69*INDEX('قیمت‌گذاری منو'!$J$5:$J$10,MATCH(B69,'قیمت‌گذاری منو'!$A$5:$A$10,0)),0)</f>
        <v>78</v>
      </c>
      <c r="E69" s="31" t="n">
        <f aca="false">IFERROR(C69*INDEX('قیمت‌گذاری منو'!$K$5:$K$10,MATCH(B69,'قیمت‌گذاری منو'!$A$5:$A$10,0)),0)</f>
        <v>68.4088163265306</v>
      </c>
      <c r="F69" s="31" t="n">
        <f aca="false">IFERROR(C69*INDEX('قیمت‌گذاری منو'!$M$5:$M$10,MATCH(B69,'قیمت‌گذاری منو'!$A$5:$A$10,0)),0)</f>
        <v>-19.8488759811617</v>
      </c>
    </row>
    <row r="70" customFormat="false" ht="15" hidden="false" customHeight="false" outlineLevel="0" collapsed="false">
      <c r="A70" s="30" t="n">
        <v>46245</v>
      </c>
      <c r="B70" s="26" t="s">
        <v>137</v>
      </c>
      <c r="C70" s="26" t="n">
        <v>12</v>
      </c>
      <c r="D70" s="31" t="n">
        <f aca="false">IFERROR(C70*INDEX('قیمت‌گذاری منو'!$J$5:$J$10,MATCH(B70,'قیمت‌گذاری منو'!$A$5:$A$10,0)),0)</f>
        <v>42</v>
      </c>
      <c r="E70" s="31" t="n">
        <f aca="false">IFERROR(C70*INDEX('قیمت‌گذاری منو'!$K$5:$K$10,MATCH(B70,'قیمت‌گذاری منو'!$A$5:$A$10,0)),0)</f>
        <v>35.88</v>
      </c>
      <c r="F70" s="31" t="n">
        <f aca="false">IFERROR(C70*INDEX('قیمت‌گذاری منو'!$M$5:$M$10,MATCH(B70,'قیمت‌گذاری منو'!$A$5:$A$10,0)),0)</f>
        <v>-48.7776923076923</v>
      </c>
    </row>
    <row r="71" customFormat="false" ht="15" hidden="false" customHeight="false" outlineLevel="0" collapsed="false">
      <c r="A71" s="30" t="n">
        <v>46246</v>
      </c>
      <c r="B71" s="26" t="s">
        <v>124</v>
      </c>
      <c r="C71" s="26" t="n">
        <v>24</v>
      </c>
      <c r="D71" s="31" t="n">
        <f aca="false">IFERROR(C71*INDEX('قیمت‌گذاری منو'!$J$5:$J$10,MATCH(B71,'قیمت‌گذاری منو'!$A$5:$A$10,0)),0)</f>
        <v>357.6</v>
      </c>
      <c r="E71" s="31" t="n">
        <f aca="false">IFERROR(C71*INDEX('قیمت‌گذاری منو'!$K$5:$K$10,MATCH(B71,'قیمت‌گذاری منو'!$A$5:$A$10,0)),0)</f>
        <v>296.129928478983</v>
      </c>
      <c r="F71" s="31" t="n">
        <f aca="false">IFERROR(C71*INDEX('قیمت‌گذاری منو'!$M$5:$M$10,MATCH(B71,'قیمت‌گذاری منو'!$A$5:$A$10,0)),0)</f>
        <v>105.214543863598</v>
      </c>
    </row>
    <row r="72" customFormat="false" ht="15" hidden="false" customHeight="false" outlineLevel="0" collapsed="false">
      <c r="A72" s="30" t="n">
        <v>46246</v>
      </c>
      <c r="B72" s="26" t="s">
        <v>128</v>
      </c>
      <c r="C72" s="26" t="n">
        <v>18</v>
      </c>
      <c r="D72" s="31" t="n">
        <f aca="false">IFERROR(C72*INDEX('قیمت‌گذاری منو'!$J$5:$J$10,MATCH(B72,'قیمت‌گذاری منو'!$A$5:$A$10,0)),0)</f>
        <v>304.2</v>
      </c>
      <c r="E72" s="31" t="n">
        <f aca="false">IFERROR(C72*INDEX('قیمت‌گذاری منو'!$K$5:$K$10,MATCH(B72,'قیمت‌گذاری منو'!$A$5:$A$10,0)),0)</f>
        <v>250.824821291413</v>
      </c>
      <c r="F72" s="31" t="n">
        <f aca="false">IFERROR(C72*INDEX('قیمت‌گذاری منو'!$M$5:$M$10,MATCH(B72,'قیمت‌گذاری منو'!$A$5:$A$10,0)),0)</f>
        <v>105.838282829875</v>
      </c>
    </row>
    <row r="73" customFormat="false" ht="15" hidden="false" customHeight="false" outlineLevel="0" collapsed="false">
      <c r="A73" s="30" t="n">
        <v>46246</v>
      </c>
      <c r="B73" s="26" t="s">
        <v>130</v>
      </c>
      <c r="C73" s="26" t="n">
        <v>5</v>
      </c>
      <c r="D73" s="31" t="n">
        <f aca="false">IFERROR(C73*INDEX('قیمت‌گذاری منو'!$J$5:$J$10,MATCH(B73,'قیمت‌گذاری منو'!$A$5:$A$10,0)),0)</f>
        <v>57.5</v>
      </c>
      <c r="E73" s="31" t="n">
        <f aca="false">IFERROR(C73*INDEX('قیمت‌گذاری منو'!$K$5:$K$10,MATCH(B73,'قیمت‌گذاری منو'!$A$5:$A$10,0)),0)</f>
        <v>50.7164011691633</v>
      </c>
      <c r="F73" s="31" t="n">
        <f aca="false">IFERROR(C73*INDEX('قیمت‌گذاری منو'!$M$5:$M$10,MATCH(B73,'قیمت‌گذاری منو'!$A$5:$A$10,0)),0)</f>
        <v>7.94236270762486</v>
      </c>
    </row>
    <row r="74" customFormat="false" ht="15" hidden="false" customHeight="false" outlineLevel="0" collapsed="false">
      <c r="A74" s="30" t="n">
        <v>46246</v>
      </c>
      <c r="B74" s="26" t="s">
        <v>133</v>
      </c>
      <c r="C74" s="26" t="n">
        <v>20</v>
      </c>
      <c r="D74" s="31" t="n">
        <f aca="false">IFERROR(C74*INDEX('قیمت‌گذاری منو'!$J$5:$J$10,MATCH(B74,'قیمت‌گذاری منو'!$A$5:$A$10,0)),0)</f>
        <v>258</v>
      </c>
      <c r="E74" s="31" t="n">
        <f aca="false">IFERROR(C74*INDEX('قیمت‌گذاری منو'!$K$5:$K$10,MATCH(B74,'قیمت‌گذاری منو'!$A$5:$A$10,0)),0)</f>
        <v>235.003641108617</v>
      </c>
      <c r="F74" s="31" t="n">
        <f aca="false">IFERROR(C74*INDEX('قیمت‌گذاری منو'!$M$5:$M$10,MATCH(B74,'قیمت‌گذاری منو'!$A$5:$A$10,0)),0)</f>
        <v>69.9074872624635</v>
      </c>
    </row>
    <row r="75" customFormat="false" ht="15" hidden="false" customHeight="false" outlineLevel="0" collapsed="false">
      <c r="A75" s="30" t="n">
        <v>46246</v>
      </c>
      <c r="B75" s="26" t="s">
        <v>135</v>
      </c>
      <c r="C75" s="26" t="n">
        <v>6</v>
      </c>
      <c r="D75" s="31" t="n">
        <f aca="false">IFERROR(C75*INDEX('قیمت‌گذاری منو'!$J$5:$J$10,MATCH(B75,'قیمت‌گذاری منو'!$A$5:$A$10,0)),0)</f>
        <v>39</v>
      </c>
      <c r="E75" s="31" t="n">
        <f aca="false">IFERROR(C75*INDEX('قیمت‌گذاری منو'!$K$5:$K$10,MATCH(B75,'قیمت‌گذاری منو'!$A$5:$A$10,0)),0)</f>
        <v>34.2044081632653</v>
      </c>
      <c r="F75" s="31" t="n">
        <f aca="false">IFERROR(C75*INDEX('قیمت‌گذاری منو'!$M$5:$M$10,MATCH(B75,'قیمت‌گذاری منو'!$A$5:$A$10,0)),0)</f>
        <v>-9.92443799058085</v>
      </c>
    </row>
    <row r="76" customFormat="false" ht="15" hidden="false" customHeight="false" outlineLevel="0" collapsed="false">
      <c r="A76" s="30" t="n">
        <v>46246</v>
      </c>
      <c r="B76" s="26" t="s">
        <v>137</v>
      </c>
      <c r="C76" s="26" t="n">
        <v>13</v>
      </c>
      <c r="D76" s="31" t="n">
        <f aca="false">IFERROR(C76*INDEX('قیمت‌گذاری منو'!$J$5:$J$10,MATCH(B76,'قیمت‌گذاری منو'!$A$5:$A$10,0)),0)</f>
        <v>45.5</v>
      </c>
      <c r="E76" s="31" t="n">
        <f aca="false">IFERROR(C76*INDEX('قیمت‌گذاری منو'!$K$5:$K$10,MATCH(B76,'قیمت‌گذاری منو'!$A$5:$A$10,0)),0)</f>
        <v>38.87</v>
      </c>
      <c r="F76" s="31" t="n">
        <f aca="false">IFERROR(C76*INDEX('قیمت‌گذاری منو'!$M$5:$M$10,MATCH(B76,'قیمت‌گذاری منو'!$A$5:$A$10,0)),0)</f>
        <v>-52.8425</v>
      </c>
    </row>
    <row r="77" customFormat="false" ht="15" hidden="false" customHeight="false" outlineLevel="0" collapsed="false">
      <c r="A77" s="30" t="n">
        <v>46247</v>
      </c>
      <c r="B77" s="26" t="s">
        <v>124</v>
      </c>
      <c r="C77" s="26" t="n">
        <v>14</v>
      </c>
      <c r="D77" s="31" t="n">
        <f aca="false">IFERROR(C77*INDEX('قیمت‌گذاری منو'!$J$5:$J$10,MATCH(B77,'قیمت‌گذاری منو'!$A$5:$A$10,0)),0)</f>
        <v>208.6</v>
      </c>
      <c r="E77" s="31" t="n">
        <f aca="false">IFERROR(C77*INDEX('قیمت‌گذاری منو'!$K$5:$K$10,MATCH(B77,'قیمت‌گذاری منو'!$A$5:$A$10,0)),0)</f>
        <v>172.742458279407</v>
      </c>
      <c r="F77" s="31" t="n">
        <f aca="false">IFERROR(C77*INDEX('قیمت‌گذاری منو'!$M$5:$M$10,MATCH(B77,'قیمت‌گذاری منو'!$A$5:$A$10,0)),0)</f>
        <v>61.375150587099</v>
      </c>
    </row>
    <row r="78" customFormat="false" ht="15" hidden="false" customHeight="false" outlineLevel="0" collapsed="false">
      <c r="A78" s="30" t="n">
        <v>46247</v>
      </c>
      <c r="B78" s="26" t="s">
        <v>128</v>
      </c>
      <c r="C78" s="26" t="n">
        <v>20</v>
      </c>
      <c r="D78" s="31" t="n">
        <f aca="false">IFERROR(C78*INDEX('قیمت‌گذاری منو'!$J$5:$J$10,MATCH(B78,'قیمت‌گذاری منو'!$A$5:$A$10,0)),0)</f>
        <v>338</v>
      </c>
      <c r="E78" s="31" t="n">
        <f aca="false">IFERROR(C78*INDEX('قیمت‌گذاری منو'!$K$5:$K$10,MATCH(B78,'قیمت‌گذاری منو'!$A$5:$A$10,0)),0)</f>
        <v>278.694245879348</v>
      </c>
      <c r="F78" s="31" t="n">
        <f aca="false">IFERROR(C78*INDEX('قیمت‌گذاری منو'!$M$5:$M$10,MATCH(B78,'قیمت‌گذاری منو'!$A$5:$A$10,0)),0)</f>
        <v>117.598092033194</v>
      </c>
    </row>
    <row r="79" customFormat="false" ht="15" hidden="false" customHeight="false" outlineLevel="0" collapsed="false">
      <c r="A79" s="30" t="n">
        <v>46247</v>
      </c>
      <c r="B79" s="26" t="s">
        <v>130</v>
      </c>
      <c r="C79" s="26" t="n">
        <v>6</v>
      </c>
      <c r="D79" s="31" t="n">
        <f aca="false">IFERROR(C79*INDEX('قیمت‌گذاری منو'!$J$5:$J$10,MATCH(B79,'قیمت‌گذاری منو'!$A$5:$A$10,0)),0)</f>
        <v>69</v>
      </c>
      <c r="E79" s="31" t="n">
        <f aca="false">IFERROR(C79*INDEX('قیمت‌گذاری منو'!$K$5:$K$10,MATCH(B79,'قیمت‌گذاری منو'!$A$5:$A$10,0)),0)</f>
        <v>60.859681402996</v>
      </c>
      <c r="F79" s="31" t="n">
        <f aca="false">IFERROR(C79*INDEX('قیمت‌گذاری منو'!$M$5:$M$10,MATCH(B79,'قیمت‌گذاری منو'!$A$5:$A$10,0)),0)</f>
        <v>9.53083524914983</v>
      </c>
    </row>
    <row r="80" customFormat="false" ht="15" hidden="false" customHeight="false" outlineLevel="0" collapsed="false">
      <c r="A80" s="30" t="n">
        <v>46247</v>
      </c>
      <c r="B80" s="26" t="s">
        <v>133</v>
      </c>
      <c r="C80" s="26" t="n">
        <v>16</v>
      </c>
      <c r="D80" s="31" t="n">
        <f aca="false">IFERROR(C80*INDEX('قیمت‌گذاری منو'!$J$5:$J$10,MATCH(B80,'قیمت‌گذاری منو'!$A$5:$A$10,0)),0)</f>
        <v>206.4</v>
      </c>
      <c r="E80" s="31" t="n">
        <f aca="false">IFERROR(C80*INDEX('قیمت‌گذاری منو'!$K$5:$K$10,MATCH(B80,'قیمت‌گذاری منو'!$A$5:$A$10,0)),0)</f>
        <v>188.002912886894</v>
      </c>
      <c r="F80" s="31" t="n">
        <f aca="false">IFERROR(C80*INDEX('قیمت‌گذاری منو'!$M$5:$M$10,MATCH(B80,'قیمت‌گذاری منو'!$A$5:$A$10,0)),0)</f>
        <v>55.9259898099708</v>
      </c>
    </row>
    <row r="81" customFormat="false" ht="15" hidden="false" customHeight="false" outlineLevel="0" collapsed="false">
      <c r="A81" s="30" t="n">
        <v>46247</v>
      </c>
      <c r="B81" s="26" t="s">
        <v>135</v>
      </c>
      <c r="C81" s="26" t="n">
        <v>7</v>
      </c>
      <c r="D81" s="31" t="n">
        <f aca="false">IFERROR(C81*INDEX('قیمت‌گذاری منو'!$J$5:$J$10,MATCH(B81,'قیمت‌گذاری منو'!$A$5:$A$10,0)),0)</f>
        <v>45.5</v>
      </c>
      <c r="E81" s="31" t="n">
        <f aca="false">IFERROR(C81*INDEX('قیمت‌گذاری منو'!$K$5:$K$10,MATCH(B81,'قیمت‌گذاری منو'!$A$5:$A$10,0)),0)</f>
        <v>39.9051428571429</v>
      </c>
      <c r="F81" s="31" t="n">
        <f aca="false">IFERROR(C81*INDEX('قیمت‌گذاری منو'!$M$5:$M$10,MATCH(B81,'قیمت‌گذاری منو'!$A$5:$A$10,0)),0)</f>
        <v>-11.578510989011</v>
      </c>
    </row>
    <row r="82" customFormat="false" ht="15" hidden="false" customHeight="false" outlineLevel="0" collapsed="false">
      <c r="A82" s="30" t="n">
        <v>46247</v>
      </c>
      <c r="B82" s="26" t="s">
        <v>137</v>
      </c>
      <c r="C82" s="26" t="n">
        <v>16</v>
      </c>
      <c r="D82" s="31" t="n">
        <f aca="false">IFERROR(C82*INDEX('قیمت‌گذاری منو'!$J$5:$J$10,MATCH(B82,'قیمت‌گذاری منو'!$A$5:$A$10,0)),0)</f>
        <v>56</v>
      </c>
      <c r="E82" s="31" t="n">
        <f aca="false">IFERROR(C82*INDEX('قیمت‌گذاری منو'!$K$5:$K$10,MATCH(B82,'قیمت‌گذاری منو'!$A$5:$A$10,0)),0)</f>
        <v>47.84</v>
      </c>
      <c r="F82" s="31" t="n">
        <f aca="false">IFERROR(C82*INDEX('قیمت‌گذاری منو'!$M$5:$M$10,MATCH(B82,'قیمت‌گذاری منو'!$A$5:$A$10,0)),0)</f>
        <v>-65.0369230769231</v>
      </c>
    </row>
    <row r="83" customFormat="false" ht="15" hidden="false" customHeight="false" outlineLevel="0" collapsed="false">
      <c r="A83" s="30" t="n">
        <v>46248</v>
      </c>
      <c r="B83" s="26" t="s">
        <v>124</v>
      </c>
      <c r="C83" s="26" t="n">
        <v>23</v>
      </c>
      <c r="D83" s="31" t="n">
        <f aca="false">IFERROR(C83*INDEX('قیمت‌گذاری منو'!$J$5:$J$10,MATCH(B83,'قیمت‌گذاری منو'!$A$5:$A$10,0)),0)</f>
        <v>342.7</v>
      </c>
      <c r="E83" s="31" t="n">
        <f aca="false">IFERROR(C83*INDEX('قیمت‌گذاری منو'!$K$5:$K$10,MATCH(B83,'قیمت‌گذاری منو'!$A$5:$A$10,0)),0)</f>
        <v>283.791181459025</v>
      </c>
      <c r="F83" s="31" t="n">
        <f aca="false">IFERROR(C83*INDEX('قیمت‌گذاری منو'!$M$5:$M$10,MATCH(B83,'قیمت‌گذاری منو'!$A$5:$A$10,0)),0)</f>
        <v>100.830604535948</v>
      </c>
    </row>
    <row r="84" customFormat="false" ht="15" hidden="false" customHeight="false" outlineLevel="0" collapsed="false">
      <c r="A84" s="30" t="n">
        <v>46248</v>
      </c>
      <c r="B84" s="26" t="s">
        <v>128</v>
      </c>
      <c r="C84" s="26" t="n">
        <v>22</v>
      </c>
      <c r="D84" s="31" t="n">
        <f aca="false">IFERROR(C84*INDEX('قیمت‌گذاری منو'!$J$5:$J$10,MATCH(B84,'قیمت‌گذاری منو'!$A$5:$A$10,0)),0)</f>
        <v>371.8</v>
      </c>
      <c r="E84" s="31" t="n">
        <f aca="false">IFERROR(C84*INDEX('قیمت‌گذاری منو'!$K$5:$K$10,MATCH(B84,'قیمت‌گذاری منو'!$A$5:$A$10,0)),0)</f>
        <v>306.563670467283</v>
      </c>
      <c r="F84" s="31" t="n">
        <f aca="false">IFERROR(C84*INDEX('قیمت‌گذاری منو'!$M$5:$M$10,MATCH(B84,'قیمت‌گذاری منو'!$A$5:$A$10,0)),0)</f>
        <v>129.357901236513</v>
      </c>
    </row>
    <row r="85" customFormat="false" ht="15" hidden="false" customHeight="false" outlineLevel="0" collapsed="false">
      <c r="A85" s="30" t="n">
        <v>46248</v>
      </c>
      <c r="B85" s="26" t="s">
        <v>130</v>
      </c>
      <c r="C85" s="26" t="n">
        <v>7</v>
      </c>
      <c r="D85" s="31" t="n">
        <f aca="false">IFERROR(C85*INDEX('قیمت‌گذاری منو'!$J$5:$J$10,MATCH(B85,'قیمت‌گذاری منو'!$A$5:$A$10,0)),0)</f>
        <v>80.5</v>
      </c>
      <c r="E85" s="31" t="n">
        <f aca="false">IFERROR(C85*INDEX('قیمت‌گذاری منو'!$K$5:$K$10,MATCH(B85,'قیمت‌گذاری منو'!$A$5:$A$10,0)),0)</f>
        <v>71.0029616368286</v>
      </c>
      <c r="F85" s="31" t="n">
        <f aca="false">IFERROR(C85*INDEX('قیمت‌گذاری منو'!$M$5:$M$10,MATCH(B85,'قیمت‌گذاری منو'!$A$5:$A$10,0)),0)</f>
        <v>11.1193077906748</v>
      </c>
    </row>
    <row r="86" customFormat="false" ht="15" hidden="false" customHeight="false" outlineLevel="0" collapsed="false">
      <c r="A86" s="30" t="n">
        <v>46248</v>
      </c>
      <c r="B86" s="26" t="s">
        <v>133</v>
      </c>
      <c r="C86" s="26" t="n">
        <v>15</v>
      </c>
      <c r="D86" s="31" t="n">
        <f aca="false">IFERROR(C86*INDEX('قیمت‌گذاری منو'!$J$5:$J$10,MATCH(B86,'قیمت‌گذاری منو'!$A$5:$A$10,0)),0)</f>
        <v>193.5</v>
      </c>
      <c r="E86" s="31" t="n">
        <f aca="false">IFERROR(C86*INDEX('قیمت‌گذاری منو'!$K$5:$K$10,MATCH(B86,'قیمت‌گذاری منو'!$A$5:$A$10,0)),0)</f>
        <v>176.252730831463</v>
      </c>
      <c r="F86" s="31" t="n">
        <f aca="false">IFERROR(C86*INDEX('قیمت‌گذاری منو'!$M$5:$M$10,MATCH(B86,'قیمت‌گذاری منو'!$A$5:$A$10,0)),0)</f>
        <v>52.4306154468476</v>
      </c>
    </row>
    <row r="87" customFormat="false" ht="15" hidden="false" customHeight="false" outlineLevel="0" collapsed="false">
      <c r="A87" s="30" t="n">
        <v>46248</v>
      </c>
      <c r="B87" s="26" t="s">
        <v>135</v>
      </c>
      <c r="C87" s="26" t="n">
        <v>8</v>
      </c>
      <c r="D87" s="31" t="n">
        <f aca="false">IFERROR(C87*INDEX('قیمت‌گذاری منو'!$J$5:$J$10,MATCH(B87,'قیمت‌گذاری منو'!$A$5:$A$10,0)),0)</f>
        <v>52</v>
      </c>
      <c r="E87" s="31" t="n">
        <f aca="false">IFERROR(C87*INDEX('قیمت‌گذاری منو'!$K$5:$K$10,MATCH(B87,'قیمت‌گذاری منو'!$A$5:$A$10,0)),0)</f>
        <v>45.6058775510204</v>
      </c>
      <c r="F87" s="31" t="n">
        <f aca="false">IFERROR(C87*INDEX('قیمت‌گذاری منو'!$M$5:$M$10,MATCH(B87,'قیمت‌گذاری منو'!$A$5:$A$10,0)),0)</f>
        <v>-13.2325839874411</v>
      </c>
    </row>
    <row r="88" customFormat="false" ht="15" hidden="false" customHeight="false" outlineLevel="0" collapsed="false">
      <c r="A88" s="30" t="n">
        <v>46248</v>
      </c>
      <c r="B88" s="26" t="s">
        <v>137</v>
      </c>
      <c r="C88" s="26" t="n">
        <v>12</v>
      </c>
      <c r="D88" s="31" t="n">
        <f aca="false">IFERROR(C88*INDEX('قیمت‌گذاری منو'!$J$5:$J$10,MATCH(B88,'قیمت‌گذاری منو'!$A$5:$A$10,0)),0)</f>
        <v>42</v>
      </c>
      <c r="E88" s="31" t="n">
        <f aca="false">IFERROR(C88*INDEX('قیمت‌گذاری منو'!$K$5:$K$10,MATCH(B88,'قیمت‌گذاری منو'!$A$5:$A$10,0)),0)</f>
        <v>35.88</v>
      </c>
      <c r="F88" s="31" t="n">
        <f aca="false">IFERROR(C88*INDEX('قیمت‌گذاری منو'!$M$5:$M$10,MATCH(B88,'قیمت‌گذاری منو'!$A$5:$A$10,0)),0)</f>
        <v>-48.7776923076923</v>
      </c>
    </row>
    <row r="89" customFormat="false" ht="15" hidden="false" customHeight="false" outlineLevel="0" collapsed="false">
      <c r="A89" s="30" t="n">
        <v>46249</v>
      </c>
      <c r="B89" s="26" t="s">
        <v>124</v>
      </c>
      <c r="C89" s="26" t="n">
        <v>23</v>
      </c>
      <c r="D89" s="31" t="n">
        <f aca="false">IFERROR(C89*INDEX('قیمت‌گذاری منو'!$J$5:$J$10,MATCH(B89,'قیمت‌گذاری منو'!$A$5:$A$10,0)),0)</f>
        <v>342.7</v>
      </c>
      <c r="E89" s="31" t="n">
        <f aca="false">IFERROR(C89*INDEX('قیمت‌گذاری منو'!$K$5:$K$10,MATCH(B89,'قیمت‌گذاری منو'!$A$5:$A$10,0)),0)</f>
        <v>283.791181459025</v>
      </c>
      <c r="F89" s="31" t="n">
        <f aca="false">IFERROR(C89*INDEX('قیمت‌گذاری منو'!$M$5:$M$10,MATCH(B89,'قیمت‌گذاری منو'!$A$5:$A$10,0)),0)</f>
        <v>100.830604535948</v>
      </c>
    </row>
    <row r="90" customFormat="false" ht="15" hidden="false" customHeight="false" outlineLevel="0" collapsed="false">
      <c r="A90" s="30" t="n">
        <v>46249</v>
      </c>
      <c r="B90" s="26" t="s">
        <v>128</v>
      </c>
      <c r="C90" s="26" t="n">
        <v>21</v>
      </c>
      <c r="D90" s="31" t="n">
        <f aca="false">IFERROR(C90*INDEX('قیمت‌گذاری منو'!$J$5:$J$10,MATCH(B90,'قیمت‌گذاری منو'!$A$5:$A$10,0)),0)</f>
        <v>354.9</v>
      </c>
      <c r="E90" s="31" t="n">
        <f aca="false">IFERROR(C90*INDEX('قیمت‌گذاری منو'!$K$5:$K$10,MATCH(B90,'قیمت‌گذاری منو'!$A$5:$A$10,0)),0)</f>
        <v>292.628958173315</v>
      </c>
      <c r="F90" s="31" t="n">
        <f aca="false">IFERROR(C90*INDEX('قیمت‌گذاری منو'!$M$5:$M$10,MATCH(B90,'قیمت‌گذاری منو'!$A$5:$A$10,0)),0)</f>
        <v>123.477996634854</v>
      </c>
    </row>
    <row r="91" customFormat="false" ht="15" hidden="false" customHeight="false" outlineLevel="0" collapsed="false">
      <c r="A91" s="30" t="n">
        <v>46249</v>
      </c>
      <c r="B91" s="26" t="s">
        <v>130</v>
      </c>
      <c r="C91" s="26" t="n">
        <v>16</v>
      </c>
      <c r="D91" s="31" t="n">
        <f aca="false">IFERROR(C91*INDEX('قیمت‌گذاری منو'!$J$5:$J$10,MATCH(B91,'قیمت‌گذاری منو'!$A$5:$A$10,0)),0)</f>
        <v>184</v>
      </c>
      <c r="E91" s="31" t="n">
        <f aca="false">IFERROR(C91*INDEX('قیمت‌گذاری منو'!$K$5:$K$10,MATCH(B91,'قیمت‌گذاری منو'!$A$5:$A$10,0)),0)</f>
        <v>162.292483741323</v>
      </c>
      <c r="F91" s="31" t="n">
        <f aca="false">IFERROR(C91*INDEX('قیمت‌گذاری منو'!$M$5:$M$10,MATCH(B91,'قیمت‌گذاری منو'!$A$5:$A$10,0)),0)</f>
        <v>25.4155606643996</v>
      </c>
    </row>
    <row r="92" customFormat="false" ht="15" hidden="false" customHeight="false" outlineLevel="0" collapsed="false">
      <c r="A92" s="30" t="n">
        <v>46249</v>
      </c>
      <c r="B92" s="26" t="s">
        <v>133</v>
      </c>
      <c r="C92" s="26" t="n">
        <v>20</v>
      </c>
      <c r="D92" s="31" t="n">
        <f aca="false">IFERROR(C92*INDEX('قیمت‌گذاری منو'!$J$5:$J$10,MATCH(B92,'قیمت‌گذاری منو'!$A$5:$A$10,0)),0)</f>
        <v>258</v>
      </c>
      <c r="E92" s="31" t="n">
        <f aca="false">IFERROR(C92*INDEX('قیمت‌گذاری منو'!$K$5:$K$10,MATCH(B92,'قیمت‌گذاری منو'!$A$5:$A$10,0)),0)</f>
        <v>235.003641108617</v>
      </c>
      <c r="F92" s="31" t="n">
        <f aca="false">IFERROR(C92*INDEX('قیمت‌گذاری منو'!$M$5:$M$10,MATCH(B92,'قیمت‌گذاری منو'!$A$5:$A$10,0)),0)</f>
        <v>69.9074872624635</v>
      </c>
    </row>
    <row r="93" customFormat="false" ht="15" hidden="false" customHeight="false" outlineLevel="0" collapsed="false">
      <c r="A93" s="30" t="n">
        <v>46249</v>
      </c>
      <c r="B93" s="26" t="s">
        <v>135</v>
      </c>
      <c r="C93" s="26" t="n">
        <v>13</v>
      </c>
      <c r="D93" s="31" t="n">
        <f aca="false">IFERROR(C93*INDEX('قیمت‌گذاری منو'!$J$5:$J$10,MATCH(B93,'قیمت‌گذاری منو'!$A$5:$A$10,0)),0)</f>
        <v>84.5</v>
      </c>
      <c r="E93" s="31" t="n">
        <f aca="false">IFERROR(C93*INDEX('قیمت‌گذاری منو'!$K$5:$K$10,MATCH(B93,'قیمت‌گذاری منو'!$A$5:$A$10,0)),0)</f>
        <v>74.1095510204082</v>
      </c>
      <c r="F93" s="31" t="n">
        <f aca="false">IFERROR(C93*INDEX('قیمت‌گذاری منو'!$M$5:$M$10,MATCH(B93,'قیمت‌گذاری منو'!$A$5:$A$10,0)),0)</f>
        <v>-21.5029489795918</v>
      </c>
    </row>
    <row r="94" customFormat="false" ht="15" hidden="false" customHeight="false" outlineLevel="0" collapsed="false">
      <c r="A94" s="30" t="n">
        <v>46249</v>
      </c>
      <c r="B94" s="26" t="s">
        <v>137</v>
      </c>
      <c r="C94" s="26" t="n">
        <v>10</v>
      </c>
      <c r="D94" s="31" t="n">
        <f aca="false">IFERROR(C94*INDEX('قیمت‌گذاری منو'!$J$5:$J$10,MATCH(B94,'قیمت‌گذاری منو'!$A$5:$A$10,0)),0)</f>
        <v>35</v>
      </c>
      <c r="E94" s="31" t="n">
        <f aca="false">IFERROR(C94*INDEX('قیمت‌گذاری منو'!$K$5:$K$10,MATCH(B94,'قیمت‌گذاری منو'!$A$5:$A$10,0)),0)</f>
        <v>29.9</v>
      </c>
      <c r="F94" s="31" t="n">
        <f aca="false">IFERROR(C94*INDEX('قیمت‌گذاری منو'!$M$5:$M$10,MATCH(B94,'قیمت‌گذاری منو'!$A$5:$A$10,0)),0)</f>
        <v>-40.6480769230769</v>
      </c>
    </row>
    <row r="95" customFormat="false" ht="15" hidden="false" customHeight="false" outlineLevel="0" collapsed="false">
      <c r="A95" s="30" t="n">
        <v>46250</v>
      </c>
      <c r="B95" s="26" t="s">
        <v>124</v>
      </c>
      <c r="C95" s="26" t="n">
        <v>22</v>
      </c>
      <c r="D95" s="31" t="n">
        <f aca="false">IFERROR(C95*INDEX('قیمت‌گذاری منو'!$J$5:$J$10,MATCH(B95,'قیمت‌گذاری منو'!$A$5:$A$10,0)),0)</f>
        <v>327.8</v>
      </c>
      <c r="E95" s="31" t="n">
        <f aca="false">IFERROR(C95*INDEX('قیمت‌گذاری منو'!$K$5:$K$10,MATCH(B95,'قیمت‌گذاری منو'!$A$5:$A$10,0)),0)</f>
        <v>271.452434439068</v>
      </c>
      <c r="F95" s="31" t="n">
        <f aca="false">IFERROR(C95*INDEX('قیمت‌گذاری منو'!$M$5:$M$10,MATCH(B95,'قیمت‌گذاری منو'!$A$5:$A$10,0)),0)</f>
        <v>96.4466652082985</v>
      </c>
    </row>
    <row r="96" customFormat="false" ht="15" hidden="false" customHeight="false" outlineLevel="0" collapsed="false">
      <c r="A96" s="30" t="n">
        <v>46250</v>
      </c>
      <c r="B96" s="26" t="s">
        <v>128</v>
      </c>
      <c r="C96" s="26" t="n">
        <v>27</v>
      </c>
      <c r="D96" s="31" t="n">
        <f aca="false">IFERROR(C96*INDEX('قیمت‌گذاری منو'!$J$5:$J$10,MATCH(B96,'قیمت‌گذاری منو'!$A$5:$A$10,0)),0)</f>
        <v>456.3</v>
      </c>
      <c r="E96" s="31" t="n">
        <f aca="false">IFERROR(C96*INDEX('قیمت‌گذاری منو'!$K$5:$K$10,MATCH(B96,'قیمت‌گذاری منو'!$A$5:$A$10,0)),0)</f>
        <v>376.23723193712</v>
      </c>
      <c r="F96" s="31" t="n">
        <f aca="false">IFERROR(C96*INDEX('قیمت‌گذاری منو'!$M$5:$M$10,MATCH(B96,'قیمت‌گذاری منو'!$A$5:$A$10,0)),0)</f>
        <v>158.757424244812</v>
      </c>
    </row>
    <row r="97" customFormat="false" ht="15" hidden="false" customHeight="false" outlineLevel="0" collapsed="false">
      <c r="A97" s="30" t="n">
        <v>46250</v>
      </c>
      <c r="B97" s="26" t="s">
        <v>130</v>
      </c>
      <c r="C97" s="26" t="n">
        <v>7</v>
      </c>
      <c r="D97" s="31" t="n">
        <f aca="false">IFERROR(C97*INDEX('قیمت‌گذاری منو'!$J$5:$J$10,MATCH(B97,'قیمت‌گذاری منو'!$A$5:$A$10,0)),0)</f>
        <v>80.5</v>
      </c>
      <c r="E97" s="31" t="n">
        <f aca="false">IFERROR(C97*INDEX('قیمت‌گذاری منو'!$K$5:$K$10,MATCH(B97,'قیمت‌گذاری منو'!$A$5:$A$10,0)),0)</f>
        <v>71.0029616368286</v>
      </c>
      <c r="F97" s="31" t="n">
        <f aca="false">IFERROR(C97*INDEX('قیمت‌گذاری منو'!$M$5:$M$10,MATCH(B97,'قیمت‌گذاری منو'!$A$5:$A$10,0)),0)</f>
        <v>11.1193077906748</v>
      </c>
    </row>
    <row r="98" customFormat="false" ht="15" hidden="false" customHeight="false" outlineLevel="0" collapsed="false">
      <c r="A98" s="30" t="n">
        <v>46250</v>
      </c>
      <c r="B98" s="26" t="s">
        <v>133</v>
      </c>
      <c r="C98" s="26" t="n">
        <v>18</v>
      </c>
      <c r="D98" s="31" t="n">
        <f aca="false">IFERROR(C98*INDEX('قیمت‌گذاری منو'!$J$5:$J$10,MATCH(B98,'قیمت‌گذاری منو'!$A$5:$A$10,0)),0)</f>
        <v>232.2</v>
      </c>
      <c r="E98" s="31" t="n">
        <f aca="false">IFERROR(C98*INDEX('قیمت‌گذاری منو'!$K$5:$K$10,MATCH(B98,'قیمت‌گذاری منو'!$A$5:$A$10,0)),0)</f>
        <v>211.503276997756</v>
      </c>
      <c r="F98" s="31" t="n">
        <f aca="false">IFERROR(C98*INDEX('قیمت‌گذاری منو'!$M$5:$M$10,MATCH(B98,'قیمت‌گذاری منو'!$A$5:$A$10,0)),0)</f>
        <v>62.9167385362172</v>
      </c>
    </row>
    <row r="99" customFormat="false" ht="15" hidden="false" customHeight="false" outlineLevel="0" collapsed="false">
      <c r="A99" s="30" t="n">
        <v>46250</v>
      </c>
      <c r="B99" s="26" t="s">
        <v>135</v>
      </c>
      <c r="C99" s="26" t="n">
        <v>14</v>
      </c>
      <c r="D99" s="31" t="n">
        <f aca="false">IFERROR(C99*INDEX('قیمت‌گذاری منو'!$J$5:$J$10,MATCH(B99,'قیمت‌گذاری منو'!$A$5:$A$10,0)),0)</f>
        <v>91</v>
      </c>
      <c r="E99" s="31" t="n">
        <f aca="false">IFERROR(C99*INDEX('قیمت‌گذاری منو'!$K$5:$K$10,MATCH(B99,'قیمت‌گذاری منو'!$A$5:$A$10,0)),0)</f>
        <v>79.8102857142857</v>
      </c>
      <c r="F99" s="31" t="n">
        <f aca="false">IFERROR(C99*INDEX('قیمت‌گذاری منو'!$M$5:$M$10,MATCH(B99,'قیمت‌گذاری منو'!$A$5:$A$10,0)),0)</f>
        <v>-23.157021978022</v>
      </c>
    </row>
    <row r="100" customFormat="false" ht="15" hidden="false" customHeight="false" outlineLevel="0" collapsed="false">
      <c r="A100" s="30" t="n">
        <v>46250</v>
      </c>
      <c r="B100" s="26" t="s">
        <v>137</v>
      </c>
      <c r="C100" s="26" t="n">
        <v>12</v>
      </c>
      <c r="D100" s="31" t="n">
        <f aca="false">IFERROR(C100*INDEX('قیمت‌گذاری منو'!$J$5:$J$10,MATCH(B100,'قیمت‌گذاری منو'!$A$5:$A$10,0)),0)</f>
        <v>42</v>
      </c>
      <c r="E100" s="31" t="n">
        <f aca="false">IFERROR(C100*INDEX('قیمت‌گذاری منو'!$K$5:$K$10,MATCH(B100,'قیمت‌گذاری منو'!$A$5:$A$10,0)),0)</f>
        <v>35.88</v>
      </c>
      <c r="F100" s="31" t="n">
        <f aca="false">IFERROR(C100*INDEX('قیمت‌گذاری منو'!$M$5:$M$10,MATCH(B100,'قیمت‌گذاری منو'!$A$5:$A$10,0)),0)</f>
        <v>-48.7776923076923</v>
      </c>
    </row>
    <row r="101" customFormat="false" ht="15" hidden="false" customHeight="false" outlineLevel="0" collapsed="false">
      <c r="A101" s="30" t="n">
        <v>46251</v>
      </c>
      <c r="B101" s="26" t="s">
        <v>124</v>
      </c>
      <c r="C101" s="26" t="n">
        <v>15</v>
      </c>
      <c r="D101" s="31" t="n">
        <f aca="false">IFERROR(C101*INDEX('قیمت‌گذاری منو'!$J$5:$J$10,MATCH(B101,'قیمت‌گذاری منو'!$A$5:$A$10,0)),0)</f>
        <v>223.5</v>
      </c>
      <c r="E101" s="31" t="n">
        <f aca="false">IFERROR(C101*INDEX('قیمت‌گذاری منو'!$K$5:$K$10,MATCH(B101,'قیمت‌گذاری منو'!$A$5:$A$10,0)),0)</f>
        <v>185.081205299364</v>
      </c>
      <c r="F101" s="31" t="n">
        <f aca="false">IFERROR(C101*INDEX('قیمت‌گذاری منو'!$M$5:$M$10,MATCH(B101,'قیمت‌گذاری منو'!$A$5:$A$10,0)),0)</f>
        <v>65.759089914749</v>
      </c>
    </row>
    <row r="102" customFormat="false" ht="15" hidden="false" customHeight="false" outlineLevel="0" collapsed="false">
      <c r="A102" s="30" t="n">
        <v>46251</v>
      </c>
      <c r="B102" s="26" t="s">
        <v>128</v>
      </c>
      <c r="C102" s="26" t="n">
        <v>24</v>
      </c>
      <c r="D102" s="31" t="n">
        <f aca="false">IFERROR(C102*INDEX('قیمت‌گذاری منو'!$J$5:$J$10,MATCH(B102,'قیمت‌گذاری منو'!$A$5:$A$10,0)),0)</f>
        <v>405.6</v>
      </c>
      <c r="E102" s="31" t="n">
        <f aca="false">IFERROR(C102*INDEX('قیمت‌گذاری منو'!$K$5:$K$10,MATCH(B102,'قیمت‌گذاری منو'!$A$5:$A$10,0)),0)</f>
        <v>334.433095055217</v>
      </c>
      <c r="F102" s="31" t="n">
        <f aca="false">IFERROR(C102*INDEX('قیمت‌گذاری منو'!$M$5:$M$10,MATCH(B102,'قیمت‌گذاری منو'!$A$5:$A$10,0)),0)</f>
        <v>141.117710439833</v>
      </c>
    </row>
    <row r="103" customFormat="false" ht="15" hidden="false" customHeight="false" outlineLevel="0" collapsed="false">
      <c r="A103" s="30" t="n">
        <v>46251</v>
      </c>
      <c r="B103" s="26" t="s">
        <v>130</v>
      </c>
      <c r="C103" s="26" t="n">
        <v>11</v>
      </c>
      <c r="D103" s="31" t="n">
        <f aca="false">IFERROR(C103*INDEX('قیمت‌گذاری منو'!$J$5:$J$10,MATCH(B103,'قیمت‌گذاری منو'!$A$5:$A$10,0)),0)</f>
        <v>126.5</v>
      </c>
      <c r="E103" s="31" t="n">
        <f aca="false">IFERROR(C103*INDEX('قیمت‌گذاری منو'!$K$5:$K$10,MATCH(B103,'قیمت‌گذاری منو'!$A$5:$A$10,0)),0)</f>
        <v>111.576082572159</v>
      </c>
      <c r="F103" s="31" t="n">
        <f aca="false">IFERROR(C103*INDEX('قیمت‌گذاری منو'!$M$5:$M$10,MATCH(B103,'قیمت‌گذاری منو'!$A$5:$A$10,0)),0)</f>
        <v>17.4731979567747</v>
      </c>
    </row>
    <row r="104" customFormat="false" ht="15" hidden="false" customHeight="false" outlineLevel="0" collapsed="false">
      <c r="A104" s="30" t="n">
        <v>46251</v>
      </c>
      <c r="B104" s="26" t="s">
        <v>133</v>
      </c>
      <c r="C104" s="26" t="n">
        <v>14</v>
      </c>
      <c r="D104" s="31" t="n">
        <f aca="false">IFERROR(C104*INDEX('قیمت‌گذاری منو'!$J$5:$J$10,MATCH(B104,'قیمت‌گذاری منو'!$A$5:$A$10,0)),0)</f>
        <v>180.6</v>
      </c>
      <c r="E104" s="31" t="n">
        <f aca="false">IFERROR(C104*INDEX('قیمت‌گذاری منو'!$K$5:$K$10,MATCH(B104,'قیمت‌گذاری منو'!$A$5:$A$10,0)),0)</f>
        <v>164.502548776032</v>
      </c>
      <c r="F104" s="31" t="n">
        <f aca="false">IFERROR(C104*INDEX('قیمت‌گذاری منو'!$M$5:$M$10,MATCH(B104,'قیمت‌گذاری منو'!$A$5:$A$10,0)),0)</f>
        <v>48.9352410837245</v>
      </c>
    </row>
    <row r="105" customFormat="false" ht="15" hidden="false" customHeight="false" outlineLevel="0" collapsed="false">
      <c r="A105" s="30" t="n">
        <v>46251</v>
      </c>
      <c r="B105" s="26" t="s">
        <v>135</v>
      </c>
      <c r="C105" s="26" t="n">
        <v>13</v>
      </c>
      <c r="D105" s="31" t="n">
        <f aca="false">IFERROR(C105*INDEX('قیمت‌گذاری منو'!$J$5:$J$10,MATCH(B105,'قیمت‌گذاری منو'!$A$5:$A$10,0)),0)</f>
        <v>84.5</v>
      </c>
      <c r="E105" s="31" t="n">
        <f aca="false">IFERROR(C105*INDEX('قیمت‌گذاری منو'!$K$5:$K$10,MATCH(B105,'قیمت‌گذاری منو'!$A$5:$A$10,0)),0)</f>
        <v>74.1095510204082</v>
      </c>
      <c r="F105" s="31" t="n">
        <f aca="false">IFERROR(C105*INDEX('قیمت‌گذاری منو'!$M$5:$M$10,MATCH(B105,'قیمت‌گذاری منو'!$A$5:$A$10,0)),0)</f>
        <v>-21.5029489795918</v>
      </c>
    </row>
    <row r="106" customFormat="false" ht="15" hidden="false" customHeight="false" outlineLevel="0" collapsed="false">
      <c r="A106" s="30" t="n">
        <v>46251</v>
      </c>
      <c r="B106" s="26" t="s">
        <v>137</v>
      </c>
      <c r="C106" s="26" t="n">
        <v>20</v>
      </c>
      <c r="D106" s="31" t="n">
        <f aca="false">IFERROR(C106*INDEX('قیمت‌گذاری منو'!$J$5:$J$10,MATCH(B106,'قیمت‌گذاری منو'!$A$5:$A$10,0)),0)</f>
        <v>70</v>
      </c>
      <c r="E106" s="31" t="n">
        <f aca="false">IFERROR(C106*INDEX('قیمت‌گذاری منو'!$K$5:$K$10,MATCH(B106,'قیمت‌گذاری منو'!$A$5:$A$10,0)),0)</f>
        <v>59.8</v>
      </c>
      <c r="F106" s="31" t="n">
        <f aca="false">IFERROR(C106*INDEX('قیمت‌گذاری منو'!$M$5:$M$10,MATCH(B106,'قیمت‌گذاری منو'!$A$5:$A$10,0)),0)</f>
        <v>-81.2961538461538</v>
      </c>
    </row>
    <row r="107" customFormat="false" ht="15" hidden="false" customHeight="false" outlineLevel="0" collapsed="false">
      <c r="A107" s="30" t="n">
        <v>46252</v>
      </c>
      <c r="B107" s="26" t="s">
        <v>124</v>
      </c>
      <c r="C107" s="26" t="n">
        <v>21</v>
      </c>
      <c r="D107" s="31" t="n">
        <f aca="false">IFERROR(C107*INDEX('قیمت‌گذاری منو'!$J$5:$J$10,MATCH(B107,'قیمت‌گذاری منو'!$A$5:$A$10,0)),0)</f>
        <v>312.9</v>
      </c>
      <c r="E107" s="31" t="n">
        <f aca="false">IFERROR(C107*INDEX('قیمت‌گذاری منو'!$K$5:$K$10,MATCH(B107,'قیمت‌گذاری منو'!$A$5:$A$10,0)),0)</f>
        <v>259.11368741911</v>
      </c>
      <c r="F107" s="31" t="n">
        <f aca="false">IFERROR(C107*INDEX('قیمت‌گذاری منو'!$M$5:$M$10,MATCH(B107,'قیمت‌گذاری منو'!$A$5:$A$10,0)),0)</f>
        <v>92.0627258806486</v>
      </c>
    </row>
    <row r="108" customFormat="false" ht="15" hidden="false" customHeight="false" outlineLevel="0" collapsed="false">
      <c r="A108" s="30" t="n">
        <v>46252</v>
      </c>
      <c r="B108" s="26" t="s">
        <v>128</v>
      </c>
      <c r="C108" s="26" t="n">
        <v>20</v>
      </c>
      <c r="D108" s="31" t="n">
        <f aca="false">IFERROR(C108*INDEX('قیمت‌گذاری منو'!$J$5:$J$10,MATCH(B108,'قیمت‌گذاری منو'!$A$5:$A$10,0)),0)</f>
        <v>338</v>
      </c>
      <c r="E108" s="31" t="n">
        <f aca="false">IFERROR(C108*INDEX('قیمت‌گذاری منو'!$K$5:$K$10,MATCH(B108,'قیمت‌گذاری منو'!$A$5:$A$10,0)),0)</f>
        <v>278.694245879348</v>
      </c>
      <c r="F108" s="31" t="n">
        <f aca="false">IFERROR(C108*INDEX('قیمت‌گذاری منو'!$M$5:$M$10,MATCH(B108,'قیمت‌گذاری منو'!$A$5:$A$10,0)),0)</f>
        <v>117.598092033194</v>
      </c>
    </row>
    <row r="109" customFormat="false" ht="15" hidden="false" customHeight="false" outlineLevel="0" collapsed="false">
      <c r="A109" s="30" t="n">
        <v>46252</v>
      </c>
      <c r="B109" s="26" t="s">
        <v>130</v>
      </c>
      <c r="C109" s="26" t="n">
        <v>15</v>
      </c>
      <c r="D109" s="31" t="n">
        <f aca="false">IFERROR(C109*INDEX('قیمت‌گذاری منو'!$J$5:$J$10,MATCH(B109,'قیمت‌گذاری منو'!$A$5:$A$10,0)),0)</f>
        <v>172.5</v>
      </c>
      <c r="E109" s="31" t="n">
        <f aca="false">IFERROR(C109*INDEX('قیمت‌گذاری منو'!$K$5:$K$10,MATCH(B109,'قیمت‌گذاری منو'!$A$5:$A$10,0)),0)</f>
        <v>152.14920350749</v>
      </c>
      <c r="F109" s="31" t="n">
        <f aca="false">IFERROR(C109*INDEX('قیمت‌گذاری منو'!$M$5:$M$10,MATCH(B109,'قیمت‌گذاری منو'!$A$5:$A$10,0)),0)</f>
        <v>23.8270881228746</v>
      </c>
    </row>
    <row r="110" customFormat="false" ht="15" hidden="false" customHeight="false" outlineLevel="0" collapsed="false">
      <c r="A110" s="30" t="n">
        <v>46252</v>
      </c>
      <c r="B110" s="26" t="s">
        <v>133</v>
      </c>
      <c r="C110" s="26" t="n">
        <v>15</v>
      </c>
      <c r="D110" s="31" t="n">
        <f aca="false">IFERROR(C110*INDEX('قیمت‌گذاری منو'!$J$5:$J$10,MATCH(B110,'قیمت‌گذاری منو'!$A$5:$A$10,0)),0)</f>
        <v>193.5</v>
      </c>
      <c r="E110" s="31" t="n">
        <f aca="false">IFERROR(C110*INDEX('قیمت‌گذاری منو'!$K$5:$K$10,MATCH(B110,'قیمت‌گذاری منو'!$A$5:$A$10,0)),0)</f>
        <v>176.252730831463</v>
      </c>
      <c r="F110" s="31" t="n">
        <f aca="false">IFERROR(C110*INDEX('قیمت‌گذاری منو'!$M$5:$M$10,MATCH(B110,'قیمت‌گذاری منو'!$A$5:$A$10,0)),0)</f>
        <v>52.4306154468476</v>
      </c>
    </row>
    <row r="111" customFormat="false" ht="15" hidden="false" customHeight="false" outlineLevel="0" collapsed="false">
      <c r="A111" s="30" t="n">
        <v>46252</v>
      </c>
      <c r="B111" s="26" t="s">
        <v>135</v>
      </c>
      <c r="C111" s="26" t="n">
        <v>3</v>
      </c>
      <c r="D111" s="31" t="n">
        <f aca="false">IFERROR(C111*INDEX('قیمت‌گذاری منو'!$J$5:$J$10,MATCH(B111,'قیمت‌گذاری منو'!$A$5:$A$10,0)),0)</f>
        <v>19.5</v>
      </c>
      <c r="E111" s="31" t="n">
        <f aca="false">IFERROR(C111*INDEX('قیمت‌گذاری منو'!$K$5:$K$10,MATCH(B111,'قیمت‌گذاری منو'!$A$5:$A$10,0)),0)</f>
        <v>17.1022040816327</v>
      </c>
      <c r="F111" s="31" t="n">
        <f aca="false">IFERROR(C111*INDEX('قیمت‌گذاری منو'!$M$5:$M$10,MATCH(B111,'قیمت‌گذاری منو'!$A$5:$A$10,0)),0)</f>
        <v>-4.96221899529042</v>
      </c>
    </row>
    <row r="112" customFormat="false" ht="15" hidden="false" customHeight="false" outlineLevel="0" collapsed="false">
      <c r="A112" s="30" t="n">
        <v>46252</v>
      </c>
      <c r="B112" s="26" t="s">
        <v>137</v>
      </c>
      <c r="C112" s="26" t="n">
        <v>12</v>
      </c>
      <c r="D112" s="31" t="n">
        <f aca="false">IFERROR(C112*INDEX('قیمت‌گذاری منو'!$J$5:$J$10,MATCH(B112,'قیمت‌گذاری منو'!$A$5:$A$10,0)),0)</f>
        <v>42</v>
      </c>
      <c r="E112" s="31" t="n">
        <f aca="false">IFERROR(C112*INDEX('قیمت‌گذاری منو'!$K$5:$K$10,MATCH(B112,'قیمت‌گذاری منو'!$A$5:$A$10,0)),0)</f>
        <v>35.88</v>
      </c>
      <c r="F112" s="31" t="n">
        <f aca="false">IFERROR(C112*INDEX('قیمت‌گذاری منو'!$M$5:$M$10,MATCH(B112,'قیمت‌گذاری منو'!$A$5:$A$10,0)),0)</f>
        <v>-48.7776923076923</v>
      </c>
    </row>
    <row r="113" customFormat="false" ht="15" hidden="false" customHeight="false" outlineLevel="0" collapsed="false">
      <c r="A113" s="30" t="n">
        <v>46253</v>
      </c>
      <c r="B113" s="26" t="s">
        <v>124</v>
      </c>
      <c r="C113" s="26" t="n">
        <v>13</v>
      </c>
      <c r="D113" s="31" t="n">
        <f aca="false">IFERROR(C113*INDEX('قیمت‌گذاری منو'!$J$5:$J$10,MATCH(B113,'قیمت‌گذاری منو'!$A$5:$A$10,0)),0)</f>
        <v>193.7</v>
      </c>
      <c r="E113" s="31" t="n">
        <f aca="false">IFERROR(C113*INDEX('قیمت‌گذاری منو'!$K$5:$K$10,MATCH(B113,'قیمت‌گذاری منو'!$A$5:$A$10,0)),0)</f>
        <v>160.403711259449</v>
      </c>
      <c r="F113" s="31" t="n">
        <f aca="false">IFERROR(C113*INDEX('قیمت‌گذاری منو'!$M$5:$M$10,MATCH(B113,'قیمت‌گذاری منو'!$A$5:$A$10,0)),0)</f>
        <v>56.9912112594491</v>
      </c>
    </row>
    <row r="114" customFormat="false" ht="15" hidden="false" customHeight="false" outlineLevel="0" collapsed="false">
      <c r="A114" s="30" t="n">
        <v>46253</v>
      </c>
      <c r="B114" s="26" t="s">
        <v>128</v>
      </c>
      <c r="C114" s="26" t="n">
        <v>22</v>
      </c>
      <c r="D114" s="31" t="n">
        <f aca="false">IFERROR(C114*INDEX('قیمت‌گذاری منو'!$J$5:$J$10,MATCH(B114,'قیمت‌گذاری منو'!$A$5:$A$10,0)),0)</f>
        <v>371.8</v>
      </c>
      <c r="E114" s="31" t="n">
        <f aca="false">IFERROR(C114*INDEX('قیمت‌گذاری منو'!$K$5:$K$10,MATCH(B114,'قیمت‌گذاری منو'!$A$5:$A$10,0)),0)</f>
        <v>306.563670467283</v>
      </c>
      <c r="F114" s="31" t="n">
        <f aca="false">IFERROR(C114*INDEX('قیمت‌گذاری منو'!$M$5:$M$10,MATCH(B114,'قیمت‌گذاری منو'!$A$5:$A$10,0)),0)</f>
        <v>129.357901236513</v>
      </c>
    </row>
    <row r="115" customFormat="false" ht="15" hidden="false" customHeight="false" outlineLevel="0" collapsed="false">
      <c r="A115" s="30" t="n">
        <v>46253</v>
      </c>
      <c r="B115" s="26" t="s">
        <v>130</v>
      </c>
      <c r="C115" s="26" t="n">
        <v>11</v>
      </c>
      <c r="D115" s="31" t="n">
        <f aca="false">IFERROR(C115*INDEX('قیمت‌گذاری منو'!$J$5:$J$10,MATCH(B115,'قیمت‌گذاری منو'!$A$5:$A$10,0)),0)</f>
        <v>126.5</v>
      </c>
      <c r="E115" s="31" t="n">
        <f aca="false">IFERROR(C115*INDEX('قیمت‌گذاری منو'!$K$5:$K$10,MATCH(B115,'قیمت‌گذاری منو'!$A$5:$A$10,0)),0)</f>
        <v>111.576082572159</v>
      </c>
      <c r="F115" s="31" t="n">
        <f aca="false">IFERROR(C115*INDEX('قیمت‌گذاری منو'!$M$5:$M$10,MATCH(B115,'قیمت‌گذاری منو'!$A$5:$A$10,0)),0)</f>
        <v>17.4731979567747</v>
      </c>
    </row>
    <row r="116" customFormat="false" ht="15" hidden="false" customHeight="false" outlineLevel="0" collapsed="false">
      <c r="A116" s="30" t="n">
        <v>46253</v>
      </c>
      <c r="B116" s="26" t="s">
        <v>133</v>
      </c>
      <c r="C116" s="26" t="n">
        <v>14</v>
      </c>
      <c r="D116" s="31" t="n">
        <f aca="false">IFERROR(C116*INDEX('قیمت‌گذاری منو'!$J$5:$J$10,MATCH(B116,'قیمت‌گذاری منو'!$A$5:$A$10,0)),0)</f>
        <v>180.6</v>
      </c>
      <c r="E116" s="31" t="n">
        <f aca="false">IFERROR(C116*INDEX('قیمت‌گذاری منو'!$K$5:$K$10,MATCH(B116,'قیمت‌گذاری منو'!$A$5:$A$10,0)),0)</f>
        <v>164.502548776032</v>
      </c>
      <c r="F116" s="31" t="n">
        <f aca="false">IFERROR(C116*INDEX('قیمت‌گذاری منو'!$M$5:$M$10,MATCH(B116,'قیمت‌گذاری منو'!$A$5:$A$10,0)),0)</f>
        <v>48.9352410837245</v>
      </c>
    </row>
    <row r="117" customFormat="false" ht="15" hidden="false" customHeight="false" outlineLevel="0" collapsed="false">
      <c r="A117" s="30" t="n">
        <v>46253</v>
      </c>
      <c r="B117" s="26" t="s">
        <v>135</v>
      </c>
      <c r="C117" s="26" t="n">
        <v>4</v>
      </c>
      <c r="D117" s="31" t="n">
        <f aca="false">IFERROR(C117*INDEX('قیمت‌گذاری منو'!$J$5:$J$10,MATCH(B117,'قیمت‌گذاری منو'!$A$5:$A$10,0)),0)</f>
        <v>26</v>
      </c>
      <c r="E117" s="31" t="n">
        <f aca="false">IFERROR(C117*INDEX('قیمت‌گذاری منو'!$K$5:$K$10,MATCH(B117,'قیمت‌گذاری منو'!$A$5:$A$10,0)),0)</f>
        <v>22.8029387755102</v>
      </c>
      <c r="F117" s="31" t="n">
        <f aca="false">IFERROR(C117*INDEX('قیمت‌گذاری منو'!$M$5:$M$10,MATCH(B117,'قیمت‌گذاری منو'!$A$5:$A$10,0)),0)</f>
        <v>-6.61629199372057</v>
      </c>
    </row>
    <row r="118" customFormat="false" ht="15" hidden="false" customHeight="false" outlineLevel="0" collapsed="false">
      <c r="A118" s="30" t="n">
        <v>46253</v>
      </c>
      <c r="B118" s="26" t="s">
        <v>137</v>
      </c>
      <c r="C118" s="26" t="n">
        <v>12</v>
      </c>
      <c r="D118" s="31" t="n">
        <f aca="false">IFERROR(C118*INDEX('قیمت‌گذاری منو'!$J$5:$J$10,MATCH(B118,'قیمت‌گذاری منو'!$A$5:$A$10,0)),0)</f>
        <v>42</v>
      </c>
      <c r="E118" s="31" t="n">
        <f aca="false">IFERROR(C118*INDEX('قیمت‌گذاری منو'!$K$5:$K$10,MATCH(B118,'قیمت‌گذاری منو'!$A$5:$A$10,0)),0)</f>
        <v>35.88</v>
      </c>
      <c r="F118" s="31" t="n">
        <f aca="false">IFERROR(C118*INDEX('قیمت‌گذاری منو'!$M$5:$M$10,MATCH(B118,'قیمت‌گذاری منو'!$A$5:$A$10,0)),0)</f>
        <v>-48.7776923076923</v>
      </c>
    </row>
    <row r="119" customFormat="false" ht="15" hidden="false" customHeight="false" outlineLevel="0" collapsed="false">
      <c r="A119" s="30" t="n">
        <v>46254</v>
      </c>
      <c r="B119" s="26" t="s">
        <v>124</v>
      </c>
      <c r="C119" s="26" t="n">
        <v>22</v>
      </c>
      <c r="D119" s="31" t="n">
        <f aca="false">IFERROR(C119*INDEX('قیمت‌گذاری منو'!$J$5:$J$10,MATCH(B119,'قیمت‌گذاری منو'!$A$5:$A$10,0)),0)</f>
        <v>327.8</v>
      </c>
      <c r="E119" s="31" t="n">
        <f aca="false">IFERROR(C119*INDEX('قیمت‌گذاری منو'!$K$5:$K$10,MATCH(B119,'قیمت‌گذاری منو'!$A$5:$A$10,0)),0)</f>
        <v>271.452434439068</v>
      </c>
      <c r="F119" s="31" t="n">
        <f aca="false">IFERROR(C119*INDEX('قیمت‌گذاری منو'!$M$5:$M$10,MATCH(B119,'قیمت‌گذاری منو'!$A$5:$A$10,0)),0)</f>
        <v>96.4466652082985</v>
      </c>
    </row>
    <row r="120" customFormat="false" ht="15" hidden="false" customHeight="false" outlineLevel="0" collapsed="false">
      <c r="A120" s="30" t="n">
        <v>46254</v>
      </c>
      <c r="B120" s="26" t="s">
        <v>128</v>
      </c>
      <c r="C120" s="26" t="n">
        <v>28</v>
      </c>
      <c r="D120" s="31" t="n">
        <f aca="false">IFERROR(C120*INDEX('قیمت‌گذاری منو'!$J$5:$J$10,MATCH(B120,'قیمت‌گذاری منو'!$A$5:$A$10,0)),0)</f>
        <v>473.2</v>
      </c>
      <c r="E120" s="31" t="n">
        <f aca="false">IFERROR(C120*INDEX('قیمت‌گذاری منو'!$K$5:$K$10,MATCH(B120,'قیمت‌گذاری منو'!$A$5:$A$10,0)),0)</f>
        <v>390.171944231087</v>
      </c>
      <c r="F120" s="31" t="n">
        <f aca="false">IFERROR(C120*INDEX('قیمت‌گذاری منو'!$M$5:$M$10,MATCH(B120,'قیمت‌گذاری منو'!$A$5:$A$10,0)),0)</f>
        <v>164.637328846472</v>
      </c>
    </row>
    <row r="121" customFormat="false" ht="15" hidden="false" customHeight="false" outlineLevel="0" collapsed="false">
      <c r="A121" s="30" t="n">
        <v>46254</v>
      </c>
      <c r="B121" s="26" t="s">
        <v>130</v>
      </c>
      <c r="C121" s="26" t="n">
        <v>10</v>
      </c>
      <c r="D121" s="31" t="n">
        <f aca="false">IFERROR(C121*INDEX('قیمت‌گذاری منو'!$J$5:$J$10,MATCH(B121,'قیمت‌گذاری منو'!$A$5:$A$10,0)),0)</f>
        <v>115</v>
      </c>
      <c r="E121" s="31" t="n">
        <f aca="false">IFERROR(C121*INDEX('قیمت‌گذاری منو'!$K$5:$K$10,MATCH(B121,'قیمت‌گذاری منو'!$A$5:$A$10,0)),0)</f>
        <v>101.432802338327</v>
      </c>
      <c r="F121" s="31" t="n">
        <f aca="false">IFERROR(C121*INDEX('قیمت‌گذاری منو'!$M$5:$M$10,MATCH(B121,'قیمت‌گذاری منو'!$A$5:$A$10,0)),0)</f>
        <v>15.8847254152497</v>
      </c>
    </row>
    <row r="122" customFormat="false" ht="15" hidden="false" customHeight="false" outlineLevel="0" collapsed="false">
      <c r="A122" s="30" t="n">
        <v>46254</v>
      </c>
      <c r="B122" s="26" t="s">
        <v>133</v>
      </c>
      <c r="C122" s="26" t="n">
        <v>13</v>
      </c>
      <c r="D122" s="31" t="n">
        <f aca="false">IFERROR(C122*INDEX('قیمت‌گذاری منو'!$J$5:$J$10,MATCH(B122,'قیمت‌گذاری منو'!$A$5:$A$10,0)),0)</f>
        <v>167.7</v>
      </c>
      <c r="E122" s="31" t="n">
        <f aca="false">IFERROR(C122*INDEX('قیمت‌گذاری منو'!$K$5:$K$10,MATCH(B122,'قیمت‌گذاری منو'!$A$5:$A$10,0)),0)</f>
        <v>152.752366720601</v>
      </c>
      <c r="F122" s="31" t="n">
        <f aca="false">IFERROR(C122*INDEX('قیمت‌گذاری منو'!$M$5:$M$10,MATCH(B122,'قیمت‌گذاری منو'!$A$5:$A$10,0)),0)</f>
        <v>45.4398667206013</v>
      </c>
    </row>
    <row r="123" customFormat="false" ht="15" hidden="false" customHeight="false" outlineLevel="0" collapsed="false">
      <c r="A123" s="30" t="n">
        <v>46254</v>
      </c>
      <c r="B123" s="26" t="s">
        <v>135</v>
      </c>
      <c r="C123" s="26" t="n">
        <v>13</v>
      </c>
      <c r="D123" s="31" t="n">
        <f aca="false">IFERROR(C123*INDEX('قیمت‌گذاری منو'!$J$5:$J$10,MATCH(B123,'قیمت‌گذاری منو'!$A$5:$A$10,0)),0)</f>
        <v>84.5</v>
      </c>
      <c r="E123" s="31" t="n">
        <f aca="false">IFERROR(C123*INDEX('قیمت‌گذاری منو'!$K$5:$K$10,MATCH(B123,'قیمت‌گذاری منو'!$A$5:$A$10,0)),0)</f>
        <v>74.1095510204082</v>
      </c>
      <c r="F123" s="31" t="n">
        <f aca="false">IFERROR(C123*INDEX('قیمت‌گذاری منو'!$M$5:$M$10,MATCH(B123,'قیمت‌گذاری منو'!$A$5:$A$10,0)),0)</f>
        <v>-21.5029489795918</v>
      </c>
    </row>
    <row r="124" customFormat="false" ht="15" hidden="false" customHeight="false" outlineLevel="0" collapsed="false">
      <c r="A124" s="30" t="n">
        <v>46254</v>
      </c>
      <c r="B124" s="26" t="s">
        <v>137</v>
      </c>
      <c r="C124" s="26" t="n">
        <v>16</v>
      </c>
      <c r="D124" s="31" t="n">
        <f aca="false">IFERROR(C124*INDEX('قیمت‌گذاری منو'!$J$5:$J$10,MATCH(B124,'قیمت‌گذاری منو'!$A$5:$A$10,0)),0)</f>
        <v>56</v>
      </c>
      <c r="E124" s="31" t="n">
        <f aca="false">IFERROR(C124*INDEX('قیمت‌گذاری منو'!$K$5:$K$10,MATCH(B124,'قیمت‌گذاری منو'!$A$5:$A$10,0)),0)</f>
        <v>47.84</v>
      </c>
      <c r="F124" s="31" t="n">
        <f aca="false">IFERROR(C124*INDEX('قیمت‌گذاری منو'!$M$5:$M$10,MATCH(B124,'قیمت‌گذاری منو'!$A$5:$A$10,0)),0)</f>
        <v>-65.0369230769231</v>
      </c>
    </row>
  </sheetData>
  <mergeCells count="2">
    <mergeCell ref="A1:F1"/>
    <mergeCell ref="A2:F2"/>
  </mergeCells>
  <dataValidations count="1">
    <dataValidation allowBlank="true" errorStyle="stop" operator="between" showDropDown="false" showErrorMessage="false" showInputMessage="false" sqref="B5:B1124" type="list">
      <formula1>'قیمت‌گذاری منو'!$A$5:$A$10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3"/>
    <col collapsed="false" customWidth="true" hidden="false" outlineLevel="0" max="4" min="4" style="0" width="15"/>
    <col collapsed="false" customWidth="true" hidden="false" outlineLevel="0" max="5" min="5" style="0" width="16"/>
    <col collapsed="false" customWidth="true" hidden="false" outlineLevel="0" max="6" min="6" style="0" width="18"/>
  </cols>
  <sheetData>
    <row r="1" customFormat="false" ht="25.5" hidden="false" customHeight="true" outlineLevel="0" collapsed="false">
      <c r="A1" s="1" t="s">
        <v>205</v>
      </c>
      <c r="B1" s="1"/>
      <c r="C1" s="1"/>
      <c r="D1" s="1"/>
      <c r="E1" s="1"/>
      <c r="F1" s="1"/>
    </row>
    <row r="2" customFormat="false" ht="18" hidden="false" customHeight="true" outlineLevel="0" collapsed="false">
      <c r="A2" s="2" t="s">
        <v>206</v>
      </c>
      <c r="B2" s="2"/>
      <c r="C2" s="2"/>
      <c r="D2" s="2"/>
      <c r="E2" s="2"/>
      <c r="F2" s="2"/>
    </row>
    <row r="4" customFormat="false" ht="30" hidden="false" customHeight="true" outlineLevel="0" collapsed="false">
      <c r="A4" s="25" t="s">
        <v>75</v>
      </c>
      <c r="B4" s="25" t="s">
        <v>83</v>
      </c>
      <c r="C4" s="25" t="s">
        <v>84</v>
      </c>
      <c r="D4" s="25" t="s">
        <v>207</v>
      </c>
      <c r="E4" s="25" t="s">
        <v>77</v>
      </c>
      <c r="F4" s="25" t="s">
        <v>208</v>
      </c>
    </row>
    <row r="5" customFormat="false" ht="15" hidden="false" customHeight="false" outlineLevel="0" collapsed="false">
      <c r="A5" s="38" t="str">
        <f aca="false">'بانک اطلاعات مواد اولیه'!A5</f>
        <v>آرد (۰۰)</v>
      </c>
      <c r="B5" s="32" t="n">
        <f aca="false">'بانک اطلاعات مواد اولیه'!I5</f>
        <v>120</v>
      </c>
      <c r="C5" s="32" t="n">
        <f aca="false">'بانک اطلاعات مواد اولیه'!J5</f>
        <v>40</v>
      </c>
      <c r="D5" s="38" t="str">
        <f aca="false">IF(B5&lt;C5,"سفارش مجدد لازم","مناسب")</f>
        <v>مناسب</v>
      </c>
      <c r="E5" s="38" t="str">
        <f aca="false">'بانک اطلاعات مواد اولیه'!C5</f>
        <v>غذایی میلان</v>
      </c>
      <c r="F5" s="31" t="n">
        <f aca="false">B5*'بانک اطلاعات مواد اولیه'!F5</f>
        <v>3900</v>
      </c>
    </row>
    <row r="6" customFormat="false" ht="15" hidden="false" customHeight="false" outlineLevel="0" collapsed="false">
      <c r="A6" s="38" t="str">
        <f aca="false">'بانک اطلاعات مواد اولیه'!A6</f>
        <v>موزارلا</v>
      </c>
      <c r="B6" s="32" t="n">
        <f aca="false">'بانک اطلاعات مواد اولیه'!I6</f>
        <v>35</v>
      </c>
      <c r="C6" s="32" t="n">
        <f aca="false">'بانک اطلاعات مواد اولیه'!J6</f>
        <v>15</v>
      </c>
      <c r="D6" s="38" t="str">
        <f aca="false">IF(B6&lt;C6,"سفارش مجدد لازم","مناسب")</f>
        <v>مناسب</v>
      </c>
      <c r="E6" s="38" t="str">
        <f aca="false">'بانک اطلاعات مواد اولیه'!C6</f>
        <v>لبنیات مستقیم</v>
      </c>
      <c r="F6" s="31" t="n">
        <f aca="false">B6*'بانک اطلاعات مواد اولیه'!F6</f>
        <v>1330</v>
      </c>
    </row>
    <row r="7" customFormat="false" ht="15" hidden="false" customHeight="false" outlineLevel="0" collapsed="false">
      <c r="A7" s="38" t="str">
        <f aca="false">'بانک اطلاعات مواد اولیه'!A7</f>
        <v>سس گوجه‌فرنگی</v>
      </c>
      <c r="B7" s="32" t="n">
        <f aca="false">'بانک اطلاعات مواد اولیه'!I7</f>
        <v>40</v>
      </c>
      <c r="C7" s="32" t="n">
        <f aca="false">'بانک اطلاعات مواد اولیه'!J7</f>
        <v>15</v>
      </c>
      <c r="D7" s="38" t="str">
        <f aca="false">IF(B7&lt;C7,"سفارش مجدد لازم","مناسب")</f>
        <v>مناسب</v>
      </c>
      <c r="E7" s="38" t="str">
        <f aca="false">'بانک اطلاعات مواد اولیه'!C7</f>
        <v>غذایی میلان</v>
      </c>
      <c r="F7" s="31" t="n">
        <f aca="false">B7*'بانک اطلاعات مواد اولیه'!F7</f>
        <v>560</v>
      </c>
    </row>
    <row r="8" customFormat="false" ht="15" hidden="false" customHeight="false" outlineLevel="0" collapsed="false">
      <c r="A8" s="38" t="str">
        <f aca="false">'بانک اطلاعات مواد اولیه'!A8</f>
        <v>پپرونی</v>
      </c>
      <c r="B8" s="32" t="n">
        <f aca="false">'بانک اطلاعات مواد اولیه'!I8</f>
        <v>18</v>
      </c>
      <c r="C8" s="32" t="n">
        <f aca="false">'بانک اطلاعات مواد اولیه'!J8</f>
        <v>8</v>
      </c>
      <c r="D8" s="38" t="str">
        <f aca="false">IF(B8&lt;C8,"سفارش مجدد لازم","مناسب")</f>
        <v>مناسب</v>
      </c>
      <c r="E8" s="38" t="str">
        <f aca="false">'بانک اطلاعات مواد اولیه'!C8</f>
        <v>شرکت گوشت پرایم</v>
      </c>
      <c r="F8" s="31" t="n">
        <f aca="false">B8*'بانک اطلاعات مواد اولیه'!F8</f>
        <v>405</v>
      </c>
    </row>
    <row r="9" customFormat="false" ht="15" hidden="false" customHeight="false" outlineLevel="0" collapsed="false">
      <c r="A9" s="38" t="str">
        <f aca="false">'بانک اطلاعات مواد اولیه'!A9</f>
        <v>روغن زیتون</v>
      </c>
      <c r="B9" s="32" t="n">
        <f aca="false">'بانک اطلاعات مواد اولیه'!I9</f>
        <v>20</v>
      </c>
      <c r="C9" s="32" t="n">
        <f aca="false">'بانک اطلاعات مواد اولیه'!J9</f>
        <v>8</v>
      </c>
      <c r="D9" s="38" t="str">
        <f aca="false">IF(B9&lt;C9,"سفارش مجدد لازم","مناسب")</f>
        <v>مناسب</v>
      </c>
      <c r="E9" s="38" t="str">
        <f aca="false">'بانک اطلاعات مواد اولیه'!C9</f>
        <v>غذایی میلان</v>
      </c>
      <c r="F9" s="31" t="n">
        <f aca="false">B9*'بانک اطلاعات مواد اولیه'!F9</f>
        <v>480</v>
      </c>
    </row>
    <row r="10" customFormat="false" ht="15" hidden="false" customHeight="false" outlineLevel="0" collapsed="false">
      <c r="A10" s="38" t="str">
        <f aca="false">'بانک اطلاعات مواد اولیه'!A10</f>
        <v>ریحان تازه</v>
      </c>
      <c r="B10" s="32" t="n">
        <f aca="false">'بانک اطلاعات مواد اولیه'!I10</f>
        <v>3</v>
      </c>
      <c r="C10" s="32" t="n">
        <f aca="false">'بانک اطلاعات مواد اولیه'!J10</f>
        <v>1</v>
      </c>
      <c r="D10" s="38" t="str">
        <f aca="false">IF(B10&lt;C10,"سفارش مجدد لازم","مناسب")</f>
        <v>مناسب</v>
      </c>
      <c r="E10" s="38" t="str">
        <f aca="false">'بانک اطلاعات مواد اولیه'!C10</f>
        <v>مزارع سبز</v>
      </c>
      <c r="F10" s="31" t="n">
        <f aca="false">B10*'بانک اطلاعات مواد اولیه'!F10</f>
        <v>54</v>
      </c>
    </row>
    <row r="11" customFormat="false" ht="15" hidden="false" customHeight="false" outlineLevel="0" collapsed="false">
      <c r="A11" s="38" t="str">
        <f aca="false">'بانک اطلاعات مواد اولیه'!A11</f>
        <v>مخمر</v>
      </c>
      <c r="B11" s="32" t="n">
        <f aca="false">'بانک اطلاعات مواد اولیه'!I11</f>
        <v>6</v>
      </c>
      <c r="C11" s="32" t="n">
        <f aca="false">'بانک اطلاعات مواد اولیه'!J11</f>
        <v>2</v>
      </c>
      <c r="D11" s="38" t="str">
        <f aca="false">IF(B11&lt;C11,"سفارش مجدد لازم","مناسب")</f>
        <v>مناسب</v>
      </c>
      <c r="E11" s="38" t="str">
        <f aca="false">'بانک اطلاعات مواد اولیه'!C11</f>
        <v>غذایی میلان</v>
      </c>
      <c r="F11" s="31" t="n">
        <f aca="false">B11*'بانک اطلاعات مواد اولیه'!F11</f>
        <v>57</v>
      </c>
    </row>
    <row r="12" customFormat="false" ht="15" hidden="false" customHeight="false" outlineLevel="0" collapsed="false">
      <c r="A12" s="38" t="str">
        <f aca="false">'بانک اطلاعات مواد اولیه'!A12</f>
        <v>سینه مرغ</v>
      </c>
      <c r="B12" s="32" t="n">
        <f aca="false">'بانک اطلاعات مواد اولیه'!I12</f>
        <v>25</v>
      </c>
      <c r="C12" s="32" t="n">
        <f aca="false">'بانک اطلاعات مواد اولیه'!J12</f>
        <v>10</v>
      </c>
      <c r="D12" s="38" t="str">
        <f aca="false">IF(B12&lt;C12,"سفارش مجدد لازم","مناسب")</f>
        <v>مناسب</v>
      </c>
      <c r="E12" s="38" t="str">
        <f aca="false">'بانک اطلاعات مواد اولیه'!C12</f>
        <v>شرکت گوشت پرایم</v>
      </c>
      <c r="F12" s="31" t="n">
        <f aca="false">B12*'بانک اطلاعات مواد اولیه'!F12</f>
        <v>400</v>
      </c>
    </row>
    <row r="13" customFormat="false" ht="15" hidden="false" customHeight="false" outlineLevel="0" collapsed="false">
      <c r="A13" s="38" t="str">
        <f aca="false">'بانک اطلاعات مواد اولیه'!A13</f>
        <v>کاهو</v>
      </c>
      <c r="B13" s="32" t="n">
        <f aca="false">'بانک اطلاعات مواد اولیه'!I13</f>
        <v>10</v>
      </c>
      <c r="C13" s="32" t="n">
        <f aca="false">'بانک اطلاعات مواد اولیه'!J13</f>
        <v>4</v>
      </c>
      <c r="D13" s="38" t="str">
        <f aca="false">IF(B13&lt;C13,"سفارش مجدد لازم","مناسب")</f>
        <v>مناسب</v>
      </c>
      <c r="E13" s="38" t="str">
        <f aca="false">'بانک اطلاعات مواد اولیه'!C13</f>
        <v>مزارع سبز</v>
      </c>
      <c r="F13" s="31" t="n">
        <f aca="false">B13*'بانک اطلاعات مواد اولیه'!F13</f>
        <v>42</v>
      </c>
    </row>
    <row r="14" customFormat="false" ht="15" hidden="false" customHeight="false" outlineLevel="0" collapsed="false">
      <c r="A14" s="38" t="str">
        <f aca="false">'بانک اطلاعات مواد اولیه'!A14</f>
        <v>نان برگر</v>
      </c>
      <c r="B14" s="32" t="n">
        <f aca="false">'بانک اطلاعات مواد اولیه'!I14</f>
        <v>300</v>
      </c>
      <c r="C14" s="32" t="n">
        <f aca="false">'بانک اطلاعات مواد اولیه'!J14</f>
        <v>100</v>
      </c>
      <c r="D14" s="38" t="str">
        <f aca="false">IF(B14&lt;C14,"سفارش مجدد لازم","مناسب")</f>
        <v>مناسب</v>
      </c>
      <c r="E14" s="38" t="str">
        <f aca="false">'بانک اطلاعات مواد اولیه'!C14</f>
        <v>نانوایی شهر</v>
      </c>
      <c r="F14" s="31" t="n">
        <f aca="false">B14*'بانک اطلاعات مواد اولیه'!F14</f>
        <v>135</v>
      </c>
    </row>
    <row r="15" customFormat="false" ht="15" hidden="false" customHeight="false" outlineLevel="0" collapsed="false">
      <c r="A15" s="38" t="str">
        <f aca="false">'بانک اطلاعات مواد اولیه'!A15</f>
        <v>پارمزان</v>
      </c>
      <c r="B15" s="32" t="n">
        <f aca="false">'بانک اطلاعات مواد اولیه'!I15</f>
        <v>6</v>
      </c>
      <c r="C15" s="32" t="n">
        <f aca="false">'بانک اطلاعات مواد اولیه'!J15</f>
        <v>2</v>
      </c>
      <c r="D15" s="38" t="str">
        <f aca="false">IF(B15&lt;C15,"سفارش مجدد لازم","مناسب")</f>
        <v>مناسب</v>
      </c>
      <c r="E15" s="38" t="str">
        <f aca="false">'بانک اطلاعات مواد اولیه'!C15</f>
        <v>لبنیات مستقیم</v>
      </c>
      <c r="F15" s="31" t="n">
        <f aca="false">B15*'بانک اطلاعات مواد اولیه'!F15</f>
        <v>252</v>
      </c>
    </row>
    <row r="16" customFormat="false" ht="15" hidden="false" customHeight="false" outlineLevel="0" collapsed="false">
      <c r="A16" s="38" t="str">
        <f aca="false">'بانک اطلاعات مواد اولیه'!A16</f>
        <v>پودر چای یخ</v>
      </c>
      <c r="B16" s="32" t="n">
        <f aca="false">'بانک اطلاعات مواد اولیه'!I16</f>
        <v>30</v>
      </c>
      <c r="C16" s="32" t="n">
        <f aca="false">'بانک اطلاعات مواد اولیه'!J16</f>
        <v>10</v>
      </c>
      <c r="D16" s="38" t="str">
        <f aca="false">IF(B16&lt;C16,"سفارش مجدد لازم","مناسب")</f>
        <v>مناسب</v>
      </c>
      <c r="E16" s="38" t="str">
        <f aca="false">'بانک اطلاعات مواد اولیه'!C16</f>
        <v>تأمین نوشیدنی</v>
      </c>
      <c r="F16" s="31" t="n">
        <f aca="false">B16*'بانک اطلاعات مواد اولیه'!F16</f>
        <v>180</v>
      </c>
    </row>
  </sheetData>
  <mergeCells count="2">
    <mergeCell ref="A1:F1"/>
    <mergeCell ref="A2:F2"/>
  </mergeCells>
  <conditionalFormatting sqref="D5:D16">
    <cfRule type="cellIs" priority="2" operator="equal" aboveAverage="0" equalAverage="0" bottom="0" percent="0" rank="0" text="" dxfId="5">
      <formula>"سفارش مجدد لازم"</formula>
    </cfRule>
    <cfRule type="cellIs" priority="3" operator="equal" aboveAverage="0" equalAverage="0" bottom="0" percent="0" rank="0" text="" dxfId="6">
      <formula>"مناسب"</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4" min="3" style="0" width="14"/>
    <col collapsed="false" customWidth="true" hidden="false" outlineLevel="0" max="5" min="5" style="0" width="16"/>
    <col collapsed="false" customWidth="true" hidden="false" outlineLevel="0" max="6" min="6" style="0" width="14"/>
    <col collapsed="false" customWidth="true" hidden="false" outlineLevel="0" max="7" min="7" style="0" width="34"/>
  </cols>
  <sheetData>
    <row r="1" customFormat="false" ht="25.5" hidden="false" customHeight="true" outlineLevel="0" collapsed="false">
      <c r="A1" s="1" t="s">
        <v>209</v>
      </c>
      <c r="B1" s="1"/>
      <c r="C1" s="1"/>
      <c r="D1" s="1"/>
      <c r="E1" s="1"/>
      <c r="F1" s="1"/>
      <c r="G1" s="1"/>
    </row>
    <row r="2" customFormat="false" ht="18" hidden="false" customHeight="true" outlineLevel="0" collapsed="false">
      <c r="A2" s="2" t="s">
        <v>210</v>
      </c>
      <c r="B2" s="2"/>
      <c r="C2" s="2"/>
      <c r="D2" s="2"/>
      <c r="E2" s="2"/>
      <c r="F2" s="2"/>
      <c r="G2" s="2"/>
    </row>
    <row r="4" customFormat="false" ht="30" hidden="false" customHeight="true" outlineLevel="0" collapsed="false">
      <c r="A4" s="25" t="s">
        <v>69</v>
      </c>
      <c r="B4" s="25" t="s">
        <v>211</v>
      </c>
      <c r="C4" s="25" t="s">
        <v>193</v>
      </c>
      <c r="D4" s="25" t="s">
        <v>212</v>
      </c>
      <c r="E4" s="25" t="s">
        <v>213</v>
      </c>
      <c r="F4" s="25" t="s">
        <v>214</v>
      </c>
      <c r="G4" s="25" t="s">
        <v>215</v>
      </c>
    </row>
    <row r="5" customFormat="false" ht="15" hidden="false" customHeight="false" outlineLevel="0" collapsed="false">
      <c r="A5" s="38" t="str">
        <f aca="false">'قیمت‌گذاری منو'!A5</f>
        <v>پیتزا مارگاریتا</v>
      </c>
      <c r="B5" s="38" t="n">
        <f aca="false">SUMIFS(فروش!$C$5:$C$124,فروش!$B$5:$B$124,A5)</f>
        <v>377</v>
      </c>
      <c r="C5" s="37" t="n">
        <f aca="false">'قیمت‌گذاری منو'!L5</f>
        <v>0.828103826842794</v>
      </c>
      <c r="D5" s="39" t="n">
        <f aca="false">AVERAGE(B5:B10)</f>
        <v>298.333333333333</v>
      </c>
      <c r="E5" s="37" t="n">
        <f aca="false">AVERAGE(C5:C10)</f>
        <v>0.862809338505468</v>
      </c>
      <c r="F5" s="38" t="str">
        <f aca="false">IF(AND(B5&gt;=D5,C5&gt;=E5),"⭐ ستاره",IF(AND(B5&gt;=D5,C5&lt;E5),"🐎 اسب زحمتکش",IF(AND(B5&lt;D5,C5&gt;=E5),"🧩 پازل","🐶 سگ")))</f>
        <v>🐎 اسب زحمتکش</v>
      </c>
      <c r="G5" s="38" t="str">
        <f aca="false">IF(F5="⭐ ستاره","کیفیت را حفظ کنید و در منو قابل رؤیت نگه دارید",IF(F5="🐎 اسب زحمتکش","پرفروش اما حاشیه سود کم — قیمت را کمی افزایش دهید یا هزینه پرس را کاهش دهید",IF(F5="🧩 پازل","سودآور اما کم‌سفارش — تبلیغ کنید یا جایگاهی آن در منو را تغییر دهید","محبوبیت و سود پایین — حذف یا بازطراحی را در نظر بگیرید")))</f>
        <v>پرفروش اما حاشیه سود کم — قیمت را کمی افزایش دهید یا هزینه پرس را کاهش دهید</v>
      </c>
    </row>
    <row r="6" customFormat="false" ht="15" hidden="false" customHeight="false" outlineLevel="0" collapsed="false">
      <c r="A6" s="38" t="str">
        <f aca="false">'قیمت‌گذاری منو'!A6</f>
        <v>پیتزا پپرونی</v>
      </c>
      <c r="B6" s="38" t="n">
        <f aca="false">SUMIFS(فروش!$C$5:$C$124,فروش!$B$5:$B$124,A6)</f>
        <v>441</v>
      </c>
      <c r="C6" s="37" t="n">
        <f aca="false">'قیمت‌گذاری منو'!L6</f>
        <v>0.824539188992153</v>
      </c>
      <c r="D6" s="39" t="n">
        <f aca="false">AVERAGE(B5:B10)</f>
        <v>298.333333333333</v>
      </c>
      <c r="E6" s="37" t="n">
        <f aca="false">AVERAGE(C5:C10)</f>
        <v>0.862809338505468</v>
      </c>
      <c r="F6" s="38" t="str">
        <f aca="false">IF(AND(B6&gt;=D6,C6&gt;=E6),"⭐ ستاره",IF(AND(B6&gt;=D6,C6&lt;E6),"🐎 اسب زحمتکش",IF(AND(B6&lt;D6,C6&gt;=E6),"🧩 پازل","🐶 سگ")))</f>
        <v>🐎 اسب زحمتکش</v>
      </c>
      <c r="G6" s="38" t="str">
        <f aca="false">IF(F6="⭐ ستاره","کیفیت را حفظ کنید و در منو قابل رؤیت نگه دارید",IF(F6="🐎 اسب زحمتکش","پرفروش اما حاشیه سود کم — قیمت را کمی افزایش دهید یا هزینه پرس را کاهش دهید",IF(F6="🧩 پازل","سودآور اما کم‌سفارش — تبلیغ کنید یا جایگاهی آن در منو را تغییر دهید","محبوبیت و سود پایین — حذف یا بازطراحی را در نظر بگیرید")))</f>
        <v>پرفروش اما حاشیه سود کم — قیمت را کمی افزایش دهید یا هزینه پرس را کاهش دهید</v>
      </c>
    </row>
    <row r="7" customFormat="false" ht="15" hidden="false" customHeight="false" outlineLevel="0" collapsed="false">
      <c r="A7" s="38" t="str">
        <f aca="false">'قیمت‌گذاری منو'!A7</f>
        <v>سالاد سزار</v>
      </c>
      <c r="B7" s="38" t="n">
        <f aca="false">SUMIFS(فروش!$C$5:$C$124,فروش!$B$5:$B$124,A7)</f>
        <v>210</v>
      </c>
      <c r="C7" s="37" t="n">
        <f aca="false">'قیمت‌گذاری منو'!L7</f>
        <v>0.882024368159362</v>
      </c>
      <c r="D7" s="39" t="n">
        <f aca="false">AVERAGE(B5:B10)</f>
        <v>298.333333333333</v>
      </c>
      <c r="E7" s="37" t="n">
        <f aca="false">AVERAGE(C5:C10)</f>
        <v>0.862809338505468</v>
      </c>
      <c r="F7" s="38" t="str">
        <f aca="false">IF(AND(B7&gt;=D7,C7&gt;=E7),"⭐ ستاره",IF(AND(B7&gt;=D7,C7&lt;E7),"🐎 اسب زحمتکش",IF(AND(B7&lt;D7,C7&gt;=E7),"🧩 پازل","🐶 سگ")))</f>
        <v>🧩 پازل</v>
      </c>
      <c r="G7" s="38" t="str">
        <f aca="false">IF(F7="⭐ ستاره","کیفیت را حفظ کنید و در منو قابل رؤیت نگه دارید",IF(F7="🐎 اسب زحمتکش","پرفروش اما حاشیه سود کم — قیمت را کمی افزایش دهید یا هزینه پرس را کاهش دهید",IF(F7="🧩 پازل","سودآور اما کم‌سفارش — تبلیغ کنید یا جایگاهی آن در منو را تغییر دهید","محبوبیت و سود پایین — حذف یا بازطراحی را در نظر بگیرید")))</f>
        <v>سودآور اما کم‌سفارش — تبلیغ کنید یا جایگاهی آن در منو را تغییر دهید</v>
      </c>
    </row>
    <row r="8" customFormat="false" ht="15" hidden="false" customHeight="false" outlineLevel="0" collapsed="false">
      <c r="A8" s="38" t="str">
        <f aca="false">'قیمت‌گذاری منو'!A8</f>
        <v>برگر مرغ</v>
      </c>
      <c r="B8" s="38" t="n">
        <f aca="false">SUMIFS(فروش!$C$5:$C$124,فروش!$B$5:$B$124,A8)</f>
        <v>321</v>
      </c>
      <c r="C8" s="37" t="n">
        <f aca="false">'قیمت‌گذاری منو'!L8</f>
        <v>0.910866826002393</v>
      </c>
      <c r="D8" s="39" t="n">
        <f aca="false">AVERAGE(B5:B10)</f>
        <v>298.333333333333</v>
      </c>
      <c r="E8" s="37" t="n">
        <f aca="false">AVERAGE(C5:C10)</f>
        <v>0.862809338505468</v>
      </c>
      <c r="F8" s="38" t="str">
        <f aca="false">IF(AND(B8&gt;=D8,C8&gt;=E8),"⭐ ستاره",IF(AND(B8&gt;=D8,C8&lt;E8),"🐎 اسب زحمتکش",IF(AND(B8&lt;D8,C8&gt;=E8),"🧩 پازل","🐶 سگ")))</f>
        <v>⭐ ستاره</v>
      </c>
      <c r="G8" s="38" t="str">
        <f aca="false">IF(F8="⭐ ستاره","کیفیت را حفظ کنید و در منو قابل رؤیت نگه دارید",IF(F8="🐎 اسب زحمتکش","پرفروش اما حاشیه سود کم — قیمت را کمی افزایش دهید یا هزینه پرس را کاهش دهید",IF(F8="🧩 پازل","سودآور اما کم‌سفارش — تبلیغ کنید یا جایگاهی آن در منو را تغییر دهید","محبوبیت و سود پایین — حذف یا بازطراحی را در نظر بگیرید")))</f>
        <v>کیفیت را حفظ کنید و در منو قابل رؤیت نگه دارید</v>
      </c>
    </row>
    <row r="9" customFormat="false" ht="15" hidden="false" customHeight="false" outlineLevel="0" collapsed="false">
      <c r="A9" s="38" t="str">
        <f aca="false">'قیمت‌گذاری منو'!A9</f>
        <v>نان سیر</v>
      </c>
      <c r="B9" s="38" t="n">
        <f aca="false">SUMIFS(فروش!$C$5:$C$124,فروش!$B$5:$B$124,A9)</f>
        <v>172</v>
      </c>
      <c r="C9" s="37" t="n">
        <f aca="false">'قیمت‌گذاری منو'!L9</f>
        <v>0.877036106750393</v>
      </c>
      <c r="D9" s="39" t="n">
        <f aca="false">AVERAGE(B5:B10)</f>
        <v>298.333333333333</v>
      </c>
      <c r="E9" s="37" t="n">
        <f aca="false">AVERAGE(C5:C10)</f>
        <v>0.862809338505468</v>
      </c>
      <c r="F9" s="38" t="str">
        <f aca="false">IF(AND(B9&gt;=D9,C9&gt;=E9),"⭐ ستاره",IF(AND(B9&gt;=D9,C9&lt;E9),"🐎 اسب زحمتکش",IF(AND(B9&lt;D9,C9&gt;=E9),"🧩 پازل","🐶 سگ")))</f>
        <v>🧩 پازل</v>
      </c>
      <c r="G9" s="38" t="str">
        <f aca="false">IF(F9="⭐ ستاره","کیفیت را حفظ کنید و در منو قابل رؤیت نگه دارید",IF(F9="🐎 اسب زحمتکش","پرفروش اما حاشیه سود کم — قیمت را کمی افزایش دهید یا هزینه پرس را کاهش دهید",IF(F9="🧩 پازل","سودآور اما کم‌سفارش — تبلیغ کنید یا جایگاهی آن در منو را تغییر دهید","محبوبیت و سود پایین — حذف یا بازطراحی را در نظر بگیرید")))</f>
        <v>سودآور اما کم‌سفارش — تبلیغ کنید یا جایگاهی آن در منو را تغییر دهید</v>
      </c>
    </row>
    <row r="10" customFormat="false" ht="15" hidden="false" customHeight="false" outlineLevel="0" collapsed="false">
      <c r="A10" s="38" t="str">
        <f aca="false">'قیمت‌گذاری منو'!A10</f>
        <v>چای یخ</v>
      </c>
      <c r="B10" s="38" t="n">
        <f aca="false">SUMIFS(فروش!$C$5:$C$124,فروش!$B$5:$B$124,A10)</f>
        <v>269</v>
      </c>
      <c r="C10" s="37" t="n">
        <f aca="false">'قیمت‌گذاری منو'!L10</f>
        <v>0.854285714285714</v>
      </c>
      <c r="D10" s="39" t="n">
        <f aca="false">AVERAGE(B5:B10)</f>
        <v>298.333333333333</v>
      </c>
      <c r="E10" s="37" t="n">
        <f aca="false">AVERAGE(C5:C10)</f>
        <v>0.862809338505468</v>
      </c>
      <c r="F10" s="38" t="str">
        <f aca="false">IF(AND(B10&gt;=D10,C10&gt;=E10),"⭐ ستاره",IF(AND(B10&gt;=D10,C10&lt;E10),"🐎 اسب زحمتکش",IF(AND(B10&lt;D10,C10&gt;=E10),"🧩 پازل","🐶 سگ")))</f>
        <v>🐶 سگ</v>
      </c>
      <c r="G10" s="38" t="str">
        <f aca="false">IF(F10="⭐ ستاره","کیفیت را حفظ کنید و در منو قابل رؤیت نگه دارید",IF(F10="🐎 اسب زحمتکش","پرفروش اما حاشیه سود کم — قیمت را کمی افزایش دهید یا هزینه پرس را کاهش دهید",IF(F10="🧩 پازل","سودآور اما کم‌سفارش — تبلیغ کنید یا جایگاهی آن در منو را تغییر دهید","محبوبیت و سود پایین — حذف یا بازطراحی را در نظر بگیرید")))</f>
        <v>محبوبیت و سود پایین — حذف یا بازطراحی را در نظر بگیرید</v>
      </c>
    </row>
  </sheetData>
  <mergeCells count="2">
    <mergeCell ref="A1:G1"/>
    <mergeCell ref="A2:G2"/>
  </mergeCells>
  <conditionalFormatting sqref="F5:F10">
    <cfRule type="cellIs" priority="2" operator="equal" aboveAverage="0" equalAverage="0" bottom="0" percent="0" rank="0" text="" dxfId="1">
      <formula>"⭐ ستاره"</formula>
    </cfRule>
    <cfRule type="cellIs" priority="3" operator="equal" aboveAverage="0" equalAverage="0" bottom="0" percent="0" rank="0" text="" dxfId="3">
      <formula>"🐎 اسب زحمتکش"</formula>
    </cfRule>
    <cfRule type="cellIs" priority="4" operator="equal" aboveAverage="0" equalAverage="0" bottom="0" percent="0" rank="0" text="" dxfId="2">
      <formula>"🧩 پازل"</formula>
    </cfRule>
    <cfRule type="cellIs" priority="5" operator="equal" aboveAverage="0" equalAverage="0" bottom="0" percent="0" rank="0" text="" dxfId="5">
      <formula>"🐶 سگ"</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30"/>
    <col collapsed="false" customWidth="true" hidden="false" outlineLevel="0" max="4" min="4" style="0" width="13"/>
    <col collapsed="false" customWidth="true" hidden="false" outlineLevel="0" max="6" min="5" style="0" width="18"/>
  </cols>
  <sheetData>
    <row r="1" customFormat="false" ht="25.5" hidden="false" customHeight="true" outlineLevel="0" collapsed="false">
      <c r="A1" s="1" t="s">
        <v>216</v>
      </c>
      <c r="B1" s="1"/>
      <c r="C1" s="1"/>
      <c r="D1" s="1"/>
      <c r="E1" s="1"/>
      <c r="F1" s="1"/>
    </row>
    <row r="2" customFormat="false" ht="18" hidden="false" customHeight="true" outlineLevel="0" collapsed="false">
      <c r="A2" s="2" t="s">
        <v>217</v>
      </c>
      <c r="B2" s="2"/>
      <c r="C2" s="2"/>
      <c r="D2" s="2"/>
      <c r="E2" s="2"/>
      <c r="F2" s="2"/>
    </row>
    <row r="4" customFormat="false" ht="30" hidden="false" customHeight="true" outlineLevel="0" collapsed="false">
      <c r="A4" s="25" t="s">
        <v>69</v>
      </c>
      <c r="B4" s="25" t="s">
        <v>218</v>
      </c>
      <c r="C4" s="25" t="s">
        <v>219</v>
      </c>
      <c r="D4" s="25" t="s">
        <v>220</v>
      </c>
      <c r="E4" s="25" t="s">
        <v>221</v>
      </c>
      <c r="F4" s="25" t="s">
        <v>222</v>
      </c>
    </row>
    <row r="5" customFormat="false" ht="15" hidden="false" customHeight="false" outlineLevel="0" collapsed="false">
      <c r="A5" s="38" t="str">
        <f aca="false">'قیمت‌گذاری منو'!A5</f>
        <v>پیتزا مارگاریتا</v>
      </c>
      <c r="B5" s="38" t="str">
        <f aca="false">IF('قیمت‌گذاری منو'!O5&gt;'پروفایل کسب‌وکار'!$B$9,"هزینه غذای بالا",IF('قیمت‌گذاری منو'!T5&lt;0,"قیمت‌گذاری پایین‌تر از حد پیشنهادی",IF('قیمت‌گذاری منو'!U5="ضررده","فروش زیر قیمت تمام‌شده","هیچ")))</f>
        <v>هیچ</v>
      </c>
      <c r="C5" s="38" t="str">
        <f aca="false">IF(B5="هزینه غذای بالا","هزینه غذا "&amp;TEXT('قیمت‌گذاری منو'!O5,"0.0%")&amp;" در برابر هدف "&amp;TEXT('پروفایل کسب‌وکار'!$B$9,"0.0%"),IF(B5="قیمت‌گذاری پایین‌تر از حد پیشنهادی","قیمت "&amp;TEXT(-'قیمت‌گذاری منو'!T5,"$0.00")&amp;" پایین‌تر از قیمت پیشنهادی",IF(B5="فروش زیر قیمت تمام‌شده","قیمت فروش، هزینه تمام‌شده هر واحد را پوشش نمی‌دهد","نشتی شناسایی نشد")))</f>
        <v>نشتی شناسایی نشد</v>
      </c>
      <c r="D5" s="31" t="n">
        <f aca="false">MAX(0,-'قیمت‌گذاری منو'!T5)</f>
        <v>0</v>
      </c>
      <c r="E5" s="32" t="n">
        <f aca="false">IFERROR(SUMIFS(فروش!$C$5:$C$124,فروش!$B$5:$B$124,A5)/((فروش!$A$124-فروش!$A$5+1)/'پروفایل کسب‌وکار'!$B$8*'پروفایل کسب‌وکار'!$B$8) * 'پروفایل کسب‌وکار'!$B$8,0)</f>
        <v>490.1</v>
      </c>
      <c r="F5" s="40" t="n">
        <f aca="false">D5*E5</f>
        <v>0</v>
      </c>
    </row>
    <row r="6" customFormat="false" ht="15" hidden="false" customHeight="false" outlineLevel="0" collapsed="false">
      <c r="A6" s="38" t="str">
        <f aca="false">'قیمت‌گذاری منو'!A6</f>
        <v>پیتزا پپرونی</v>
      </c>
      <c r="B6" s="38" t="str">
        <f aca="false">IF('قیمت‌گذاری منو'!O6&gt;'پروفایل کسب‌وکار'!$B$9,"هزینه غذای بالا",IF('قیمت‌گذاری منو'!T6&lt;0,"قیمت‌گذاری پایین‌تر از حد پیشنهادی",IF('قیمت‌گذاری منو'!U6="ضررده","فروش زیر قیمت تمام‌شده","هیچ")))</f>
        <v>هیچ</v>
      </c>
      <c r="C6" s="38" t="str">
        <f aca="false">IF(B6="هزینه غذای بالا","هزینه غذا "&amp;TEXT('قیمت‌گذاری منو'!O6,"0.0%")&amp;" در برابر هدف "&amp;TEXT('پروفایل کسب‌وکار'!$B$9,"0.0%"),IF(B6="قیمت‌گذاری پایین‌تر از حد پیشنهادی","قیمت "&amp;TEXT(-'قیمت‌گذاری منو'!T6,"$0.00")&amp;" پایین‌تر از قیمت پیشنهادی",IF(B6="فروش زیر قیمت تمام‌شده","قیمت فروش، هزینه تمام‌شده هر واحد را پوشش نمی‌دهد","نشتی شناسایی نشد")))</f>
        <v>نشتی شناسایی نشد</v>
      </c>
      <c r="D6" s="31" t="n">
        <f aca="false">MAX(0,-'قیمت‌گذاری منو'!T6)</f>
        <v>0</v>
      </c>
      <c r="E6" s="32" t="n">
        <f aca="false">IFERROR(SUMIFS(فروش!$C$5:$C$124,فروش!$B$5:$B$124,A6)/((فروش!$A$124-فروش!$A$5+1)/'پروفایل کسب‌وکار'!$B$8*'پروفایل کسب‌وکار'!$B$8) * 'پروفایل کسب‌وکار'!$B$8,0)</f>
        <v>573.3</v>
      </c>
      <c r="F6" s="40" t="n">
        <f aca="false">D6*E6</f>
        <v>0</v>
      </c>
    </row>
    <row r="7" customFormat="false" ht="15" hidden="false" customHeight="false" outlineLevel="0" collapsed="false">
      <c r="A7" s="38" t="str">
        <f aca="false">'قیمت‌گذاری منو'!A7</f>
        <v>سالاد سزار</v>
      </c>
      <c r="B7" s="38" t="str">
        <f aca="false">IF('قیمت‌گذاری منو'!O7&gt;'پروفایل کسب‌وکار'!$B$9,"هزینه غذای بالا",IF('قیمت‌گذاری منو'!T7&lt;0,"قیمت‌گذاری پایین‌تر از حد پیشنهادی",IF('قیمت‌گذاری منو'!U7="ضررده","فروش زیر قیمت تمام‌شده","هیچ")))</f>
        <v>قیمت‌گذاری پایین‌تر از حد پیشنهادی</v>
      </c>
      <c r="C7" s="38" t="str">
        <f aca="false">IF(B7="هزینه غذای بالا","هزینه غذا "&amp;TEXT('قیمت‌گذاری منو'!O7,"0.0%")&amp;" در برابر هدف "&amp;TEXT('پروفایل کسب‌وکار'!$B$9,"0.0%"),IF(B7="قیمت‌گذاری پایین‌تر از حد پیشنهادی","قیمت "&amp;TEXT(-'قیمت‌گذاری منو'!T7,"$0.00")&amp;" پایین‌تر از قیمت پیشنهادی",IF(B7="فروش زیر قیمت تمام‌شده","قیمت فروش، هزینه تمام‌شده هر واحد را پوشش نمی‌دهد","نشتی شناسایی نشد")))</f>
        <v>قیمت $0.16 پایین‌تر از قیمت پیشنهادی</v>
      </c>
      <c r="D7" s="31" t="n">
        <f aca="false">MAX(0,-'قیمت‌گذاری منو'!T7)</f>
        <v>0.160620539382386</v>
      </c>
      <c r="E7" s="32" t="n">
        <f aca="false">IFERROR(SUMIFS(فروش!$C$5:$C$124,فروش!$B$5:$B$124,A7)/((فروش!$A$124-فروش!$A$5+1)/'پروفایل کسب‌وکار'!$B$8*'پروفایل کسب‌وکار'!$B$8) * 'پروفایل کسب‌وکار'!$B$8,0)</f>
        <v>273</v>
      </c>
      <c r="F7" s="40" t="n">
        <f aca="false">D7*E7</f>
        <v>43.8494072513913</v>
      </c>
    </row>
    <row r="8" customFormat="false" ht="15" hidden="false" customHeight="false" outlineLevel="0" collapsed="false">
      <c r="A8" s="38" t="str">
        <f aca="false">'قیمت‌گذاری منو'!A8</f>
        <v>برگر مرغ</v>
      </c>
      <c r="B8" s="38" t="str">
        <f aca="false">IF('قیمت‌گذاری منو'!O8&gt;'پروفایل کسب‌وکار'!$B$9,"هزینه غذای بالا",IF('قیمت‌گذاری منو'!T8&lt;0,"قیمت‌گذاری پایین‌تر از حد پیشنهادی",IF('قیمت‌گذاری منو'!U8="ضررده","فروش زیر قیمت تمام‌شده","هیچ")))</f>
        <v>هیچ</v>
      </c>
      <c r="C8" s="38" t="str">
        <f aca="false">IF(B8="هزینه غذای بالا","هزینه غذا "&amp;TEXT('قیمت‌گذاری منو'!O8,"0.0%")&amp;" در برابر هدف "&amp;TEXT('پروفایل کسب‌وکار'!$B$9,"0.0%"),IF(B8="قیمت‌گذاری پایین‌تر از حد پیشنهادی","قیمت "&amp;TEXT(-'قیمت‌گذاری منو'!T8,"$0.00")&amp;" پایین‌تر از قیمت پیشنهادی",IF(B8="فروش زیر قیمت تمام‌شده","قیمت فروش، هزینه تمام‌شده هر واحد را پوشش نمی‌دهد","نشتی شناسایی نشد")))</f>
        <v>نشتی شناسایی نشد</v>
      </c>
      <c r="D8" s="31" t="n">
        <f aca="false">MAX(0,-'قیمت‌گذاری منو'!T8)</f>
        <v>0</v>
      </c>
      <c r="E8" s="32" t="n">
        <f aca="false">IFERROR(SUMIFS(فروش!$C$5:$C$124,فروش!$B$5:$B$124,A8)/((فروش!$A$124-فروش!$A$5+1)/'پروفایل کسب‌وکار'!$B$8*'پروفایل کسب‌وکار'!$B$8) * 'پروفایل کسب‌وکار'!$B$8,0)</f>
        <v>417.3</v>
      </c>
      <c r="F8" s="40" t="n">
        <f aca="false">D8*E8</f>
        <v>0</v>
      </c>
    </row>
    <row r="9" customFormat="false" ht="15" hidden="false" customHeight="false" outlineLevel="0" collapsed="false">
      <c r="A9" s="38" t="str">
        <f aca="false">'قیمت‌گذاری منو'!A9</f>
        <v>نان سیر</v>
      </c>
      <c r="B9" s="38" t="str">
        <f aca="false">IF('قیمت‌گذاری منو'!O9&gt;'پروفایل کسب‌وکار'!$B$9,"هزینه غذای بالا",IF('قیمت‌گذاری منو'!T9&lt;0,"قیمت‌گذاری پایین‌تر از حد پیشنهادی",IF('قیمت‌گذاری منو'!U9="ضررده","فروش زیر قیمت تمام‌شده","هیچ")))</f>
        <v>قیمت‌گذاری پایین‌تر از حد پیشنهادی</v>
      </c>
      <c r="C9" s="38" t="str">
        <f aca="false">IF(B9="هزینه غذای بالا","هزینه غذا "&amp;TEXT('قیمت‌گذاری منو'!O9,"0.0%")&amp;" در برابر هدف "&amp;TEXT('پروفایل کسب‌وکار'!$B$9,"0.0%"),IF(B9="قیمت‌گذاری پایین‌تر از حد پیشنهادی","قیمت "&amp;TEXT(-'قیمت‌گذاری منو'!T9,"$0.00")&amp;" پایین‌تر از قیمت پیشنهادی",IF(B9="فروش زیر قیمت تمام‌شده","قیمت فروش، هزینه تمام‌شده هر واحد را پوشش نمی‌دهد","نشتی شناسایی نشد")))</f>
        <v>قیمت $3.09 پایین‌تر از قیمت پیشنهادی</v>
      </c>
      <c r="D9" s="31" t="n">
        <f aca="false">MAX(0,-'قیمت‌گذاری منو'!T9)</f>
        <v>3.09302705697664</v>
      </c>
      <c r="E9" s="32" t="n">
        <f aca="false">IFERROR(SUMIFS(فروش!$C$5:$C$124,فروش!$B$5:$B$124,A9)/((فروش!$A$124-فروش!$A$5+1)/'پروفایل کسب‌وکار'!$B$8*'پروفایل کسب‌وکار'!$B$8) * 'پروفایل کسب‌وکار'!$B$8,0)</f>
        <v>223.6</v>
      </c>
      <c r="F9" s="40" t="n">
        <f aca="false">D9*E9</f>
        <v>691.600849939976</v>
      </c>
    </row>
    <row r="10" customFormat="false" ht="15" hidden="false" customHeight="false" outlineLevel="0" collapsed="false">
      <c r="A10" s="38" t="str">
        <f aca="false">'قیمت‌گذاری منو'!A10</f>
        <v>چای یخ</v>
      </c>
      <c r="B10" s="38" t="str">
        <f aca="false">IF('قیمت‌گذاری منو'!O10&gt;'پروفایل کسب‌وکار'!$B$9,"هزینه غذای بالا",IF('قیمت‌گذاری منو'!T10&lt;0,"قیمت‌گذاری پایین‌تر از حد پیشنهادی",IF('قیمت‌گذاری منو'!U10="ضررده","فروش زیر قیمت تمام‌شده","هیچ")))</f>
        <v>قیمت‌گذاری پایین‌تر از حد پیشنهادی</v>
      </c>
      <c r="C10" s="38" t="str">
        <f aca="false">IF(B10="هزینه غذای بالا","هزینه غذا "&amp;TEXT('قیمت‌گذاری منو'!O10,"0.0%")&amp;" در برابر هدف "&amp;TEXT('پروفایل کسب‌وکار'!$B$9,"0.0%"),IF(B10="قیمت‌گذاری پایین‌تر از حد پیشنهادی","قیمت "&amp;TEXT(-'قیمت‌گذاری منو'!T10,"$0.00")&amp;" پایین‌تر از قیمت پیشنهادی",IF(B10="فروش زیر قیمت تمام‌شده","قیمت فروش، هزینه تمام‌شده هر واحد را پوشش نمی‌دهد","نشتی شناسایی نشد")))</f>
        <v>قیمت $5.40 پایین‌تر از قیمت پیشنهادی</v>
      </c>
      <c r="D10" s="31" t="n">
        <f aca="false">MAX(0,-'قیمت‌گذاری منو'!T10)</f>
        <v>5.39977375565611</v>
      </c>
      <c r="E10" s="32" t="n">
        <f aca="false">IFERROR(SUMIFS(فروش!$C$5:$C$124,فروش!$B$5:$B$124,A10)/((فروش!$A$124-فروش!$A$5+1)/'پروفایل کسب‌وکار'!$B$8*'پروفایل کسب‌وکار'!$B$8) * 'پروفایل کسب‌وکار'!$B$8,0)</f>
        <v>349.7</v>
      </c>
      <c r="F10" s="40" t="n">
        <f aca="false">D10*E10</f>
        <v>1888.30088235294</v>
      </c>
    </row>
    <row r="12" customFormat="false" ht="15" hidden="false" customHeight="false" outlineLevel="0" collapsed="false">
      <c r="A12" s="4" t="s">
        <v>223</v>
      </c>
      <c r="F12" s="41" t="n">
        <f aca="false">SUM(F5:F10)</f>
        <v>2623.75113954431</v>
      </c>
    </row>
  </sheetData>
  <mergeCells count="2">
    <mergeCell ref="A1:F1"/>
    <mergeCell ref="A2:F2"/>
  </mergeCells>
  <conditionalFormatting sqref="F5:F10">
    <cfRule type="cellIs" priority="2"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50"/>
    <col collapsed="false" customWidth="true" hidden="false" outlineLevel="0" max="4" min="4" style="0" width="18"/>
  </cols>
  <sheetData>
    <row r="1" customFormat="false" ht="25.5" hidden="false" customHeight="true" outlineLevel="0" collapsed="false">
      <c r="A1" s="1" t="s">
        <v>224</v>
      </c>
      <c r="B1" s="1"/>
      <c r="C1" s="1"/>
      <c r="D1" s="1"/>
    </row>
    <row r="2" customFormat="false" ht="18" hidden="false" customHeight="true" outlineLevel="0" collapsed="false">
      <c r="A2" s="2" t="s">
        <v>225</v>
      </c>
      <c r="B2" s="2"/>
      <c r="C2" s="2"/>
      <c r="D2" s="2"/>
    </row>
    <row r="4" customFormat="false" ht="30" hidden="false" customHeight="true" outlineLevel="0" collapsed="false">
      <c r="A4" s="25" t="s">
        <v>226</v>
      </c>
      <c r="B4" s="25" t="s">
        <v>69</v>
      </c>
      <c r="C4" s="25" t="s">
        <v>215</v>
      </c>
      <c r="D4" s="25" t="s">
        <v>227</v>
      </c>
    </row>
    <row r="5" customFormat="false" ht="15" hidden="false" customHeight="false" outlineLevel="0" collapsed="false">
      <c r="A5" s="38" t="n">
        <f aca="false">IF('قیمت‌گذاری منو'!U5="ضررده",1,IF('قیمت‌گذاری منو'!U5="حاشیه سود پایین",2,IF('قیمت‌گذاری منو'!U5="نیاز به بازبینی",3,4)))</f>
        <v>4</v>
      </c>
      <c r="B5" s="38" t="str">
        <f aca="false">'قیمت‌گذاری منو'!A5</f>
        <v>پیتزا مارگاریتا</v>
      </c>
      <c r="C5" s="38" t="str">
        <f aca="false">IF('قیمت‌گذاری منو'!U5="ضررده","قیمت را حداقل به "&amp;TEXT('قیمت‌گذاری منو'!R5,"$0.00")&amp;" برسانید یا هزینه دستور پخت/بسته‌بندی را کاهش دهید — در حال حاضر زیر هزینه کل فروخته می‌شود",IF('قیمت‌گذاری منو'!U5="حاشیه سود پایین","قیمت را به سمت "&amp;TEXT('قیمت‌گذاری منو'!R5,"$0.00")&amp;" افزایش دهید یا هزینه مواد اولیه را برای رسیدن به حاشیه سود هدف کاهش دهید",IF('قیمت‌گذاری منو'!U5="نیاز به بازبینی","قیمت‌گذاری را بازبینی کنید — نزدیک به هدف است اما هنوز نرسیده","عملکرد خوب — کیفیت را حفظ کنید و به تبلیغ آن ادامه دهید")))</f>
        <v>عملکرد خوب — کیفیت را حفظ کنید و به تبلیغ آن ادامه دهید</v>
      </c>
      <c r="D5" s="40" t="n">
        <f aca="false">MAX(0,'قیمت‌گذاری منو'!R5-'قیمت‌گذاری منو'!J5)*SUMIFS(فروش!$C$5:$C$124,فروش!$B$5:$B$124,B5)</f>
        <v>0</v>
      </c>
    </row>
    <row r="6" customFormat="false" ht="15" hidden="false" customHeight="false" outlineLevel="0" collapsed="false">
      <c r="A6" s="38" t="n">
        <f aca="false">IF('قیمت‌گذاری منو'!U6="ضررده",1,IF('قیمت‌گذاری منو'!U6="حاشیه سود پایین",2,IF('قیمت‌گذاری منو'!U6="نیاز به بازبینی",3,4)))</f>
        <v>4</v>
      </c>
      <c r="B6" s="38" t="str">
        <f aca="false">'قیمت‌گذاری منو'!A6</f>
        <v>پیتزا پپرونی</v>
      </c>
      <c r="C6" s="38" t="str">
        <f aca="false">IF('قیمت‌گذاری منو'!U6="ضررده","قیمت را حداقل به "&amp;TEXT('قیمت‌گذاری منو'!R6,"$0.00")&amp;" برسانید یا هزینه دستور پخت/بسته‌بندی را کاهش دهید — در حال حاضر زیر هزینه کل فروخته می‌شود",IF('قیمت‌گذاری منو'!U6="حاشیه سود پایین","قیمت را به سمت "&amp;TEXT('قیمت‌گذاری منو'!R6,"$0.00")&amp;" افزایش دهید یا هزینه مواد اولیه را برای رسیدن به حاشیه سود هدف کاهش دهید",IF('قیمت‌گذاری منو'!U6="نیاز به بازبینی","قیمت‌گذاری را بازبینی کنید — نزدیک به هدف است اما هنوز نرسیده","عملکرد خوب — کیفیت را حفظ کنید و به تبلیغ آن ادامه دهید")))</f>
        <v>عملکرد خوب — کیفیت را حفظ کنید و به تبلیغ آن ادامه دهید</v>
      </c>
      <c r="D6" s="40" t="n">
        <f aca="false">MAX(0,'قیمت‌گذاری منو'!R6-'قیمت‌گذاری منو'!J6)*SUMIFS(فروش!$C$5:$C$124,فروش!$B$5:$B$124,B6)</f>
        <v>0</v>
      </c>
    </row>
    <row r="7" customFormat="false" ht="15" hidden="false" customHeight="false" outlineLevel="0" collapsed="false">
      <c r="A7" s="38" t="n">
        <f aca="false">IF('قیمت‌گذاری منو'!U7="ضررده",1,IF('قیمت‌گذاری منو'!U7="حاشیه سود پایین",2,IF('قیمت‌گذاری منو'!U7="نیاز به بازبینی",3,4)))</f>
        <v>3</v>
      </c>
      <c r="B7" s="38" t="str">
        <f aca="false">'قیمت‌گذاری منو'!A7</f>
        <v>سالاد سزار</v>
      </c>
      <c r="C7" s="38" t="str">
        <f aca="false">IF('قیمت‌گذاری منو'!U7="ضررده","قیمت را حداقل به "&amp;TEXT('قیمت‌گذاری منو'!R7,"$0.00")&amp;" برسانید یا هزینه دستور پخت/بسته‌بندی را کاهش دهید — در حال حاضر زیر هزینه کل فروخته می‌شود",IF('قیمت‌گذاری منو'!U7="حاشیه سود پایین","قیمت را به سمت "&amp;TEXT('قیمت‌گذاری منو'!R7,"$0.00")&amp;" افزایش دهید یا هزینه مواد اولیه را برای رسیدن به حاشیه سود هدف کاهش دهید",IF('قیمت‌گذاری منو'!U7="نیاز به بازبینی","قیمت‌گذاری را بازبینی کنید — نزدیک به هدف است اما هنوز نرسیده","عملکرد خوب — کیفیت را حفظ کنید و به تبلیغ آن ادامه دهید")))</f>
        <v>قیمت‌گذاری را بازبینی کنید — نزدیک به هدف است اما هنوز نرسیده</v>
      </c>
      <c r="D7" s="40" t="n">
        <f aca="false">MAX(0,'قیمت‌گذاری منو'!R7-'قیمت‌گذاری منو'!J7)*SUMIFS(فروش!$C$5:$C$124,فروش!$B$5:$B$124,B7)</f>
        <v>33.730313270301</v>
      </c>
    </row>
    <row r="8" customFormat="false" ht="15" hidden="false" customHeight="false" outlineLevel="0" collapsed="false">
      <c r="A8" s="38" t="n">
        <f aca="false">IF('قیمت‌گذاری منو'!U8="ضررده",1,IF('قیمت‌گذاری منو'!U8="حاشیه سود پایین",2,IF('قیمت‌گذاری منو'!U8="نیاز به بازبینی",3,4)))</f>
        <v>4</v>
      </c>
      <c r="B8" s="38" t="str">
        <f aca="false">'قیمت‌گذاری منو'!A8</f>
        <v>برگر مرغ</v>
      </c>
      <c r="C8" s="38" t="str">
        <f aca="false">IF('قیمت‌گذاری منو'!U8="ضررده","قیمت را حداقل به "&amp;TEXT('قیمت‌گذاری منو'!R8,"$0.00")&amp;" برسانید یا هزینه دستور پخت/بسته‌بندی را کاهش دهید — در حال حاضر زیر هزینه کل فروخته می‌شود",IF('قیمت‌گذاری منو'!U8="حاشیه سود پایین","قیمت را به سمت "&amp;TEXT('قیمت‌گذاری منو'!R8,"$0.00")&amp;" افزایش دهید یا هزینه مواد اولیه را برای رسیدن به حاشیه سود هدف کاهش دهید",IF('قیمت‌گذاری منو'!U8="نیاز به بازبینی","قیمت‌گذاری را بازبینی کنید — نزدیک به هدف است اما هنوز نرسیده","عملکرد خوب — کیفیت را حفظ کنید و به تبلیغ آن ادامه دهید")))</f>
        <v>عملکرد خوب — کیفیت را حفظ کنید و به تبلیغ آن ادامه دهید</v>
      </c>
      <c r="D8" s="40" t="n">
        <f aca="false">MAX(0,'قیمت‌گذاری منو'!R8-'قیمت‌گذاری منو'!J8)*SUMIFS(فروش!$C$5:$C$124,فروش!$B$5:$B$124,B8)</f>
        <v>0</v>
      </c>
    </row>
    <row r="9" customFormat="false" ht="15" hidden="false" customHeight="false" outlineLevel="0" collapsed="false">
      <c r="A9" s="38" t="n">
        <f aca="false">IF('قیمت‌گذاری منو'!U9="ضررده",1,IF('قیمت‌گذاری منو'!U9="حاشیه سود پایین",2,IF('قیمت‌گذاری منو'!U9="نیاز به بازبینی",3,4)))</f>
        <v>1</v>
      </c>
      <c r="B9" s="38" t="str">
        <f aca="false">'قیمت‌گذاری منو'!A9</f>
        <v>نان سیر</v>
      </c>
      <c r="C9" s="38" t="str">
        <f aca="false">IF('قیمت‌گذاری منو'!U9="ضررده","قیمت را حداقل به "&amp;TEXT('قیمت‌گذاری منو'!R9,"$0.00")&amp;" برسانید یا هزینه دستور پخت/بسته‌بندی را کاهش دهید — در حال حاضر زیر هزینه کل فروخته می‌شود",IF('قیمت‌گذاری منو'!U9="حاشیه سود پایین","قیمت را به سمت "&amp;TEXT('قیمت‌گذاری منو'!R9,"$0.00")&amp;" افزایش دهید یا هزینه مواد اولیه را برای رسیدن به حاشیه سود هدف کاهش دهید",IF('قیمت‌گذاری منو'!U9="نیاز به بازبینی","قیمت‌گذاری را بازبینی کنید — نزدیک به هدف است اما هنوز نرسیده","عملکرد خوب — کیفیت را حفظ کنید و به تبلیغ آن ادامه دهید")))</f>
        <v>قیمت را حداقل به $9.59 برسانید یا هزینه دستور پخت/بسته‌بندی را کاهش دهید — در حال حاضر زیر هزینه کل فروخته می‌شود</v>
      </c>
      <c r="D9" s="40" t="n">
        <f aca="false">MAX(0,'قیمت‌گذاری منو'!R9-'قیمت‌گذاری منو'!J9)*SUMIFS(فروش!$C$5:$C$124,فروش!$B$5:$B$124,B9)</f>
        <v>532.000653799982</v>
      </c>
    </row>
    <row r="10" customFormat="false" ht="15" hidden="false" customHeight="false" outlineLevel="0" collapsed="false">
      <c r="A10" s="38" t="n">
        <f aca="false">IF('قیمت‌گذاری منو'!U10="ضررده",1,IF('قیمت‌گذاری منو'!U10="حاشیه سود پایین",2,IF('قیمت‌گذاری منو'!U10="نیاز به بازبینی",3,4)))</f>
        <v>1</v>
      </c>
      <c r="B10" s="38" t="str">
        <f aca="false">'قیمت‌گذاری منو'!A10</f>
        <v>چای یخ</v>
      </c>
      <c r="C10" s="38" t="str">
        <f aca="false">IF('قیمت‌گذاری منو'!U10="ضررده","قیمت را حداقل به "&amp;TEXT('قیمت‌گذاری منو'!R10,"$0.00")&amp;" برسانید یا هزینه دستور پخت/بسته‌بندی را کاهش دهید — در حال حاضر زیر هزینه کل فروخته می‌شود",IF('قیمت‌گذاری منو'!U10="حاشیه سود پایین","قیمت را به سمت "&amp;TEXT('قیمت‌گذاری منو'!R10,"$0.00")&amp;" افزایش دهید یا هزینه مواد اولیه را برای رسیدن به حاشیه سود هدف کاهش دهید",IF('قیمت‌گذاری منو'!U10="نیاز به بازبینی","قیمت‌گذاری را بازبینی کنید — نزدیک به هدف است اما هنوز نرسیده","عملکرد خوب — کیفیت را حفظ کنید و به تبلیغ آن ادامه دهید")))</f>
        <v>قیمت را حداقل به $8.90 برسانید یا هزینه دستور پخت/بسته‌بندی را کاهش دهید — در حال حاضر زیر هزینه کل فروخته می‌شود</v>
      </c>
      <c r="D10" s="40" t="n">
        <f aca="false">MAX(0,'قیمت‌گذاری منو'!R10-'قیمت‌گذاری منو'!J10)*SUMIFS(فروش!$C$5:$C$124,فروش!$B$5:$B$124,B10)</f>
        <v>1452.53914027149</v>
      </c>
    </row>
  </sheetData>
  <mergeCells count="2">
    <mergeCell ref="A1:D1"/>
    <mergeCell ref="A2:D2"/>
  </mergeCells>
  <conditionalFormatting sqref="A5:A10">
    <cfRule type="cellIs" priority="2" operator="equal" aboveAverage="0" equalAverage="0" bottom="0" percent="0" rank="0" text="" dxfId="5">
      <formula>1</formula>
    </cfRule>
    <cfRule type="cellIs" priority="3" operator="equal" aboveAverage="0" equalAverage="0" bottom="0" percent="0" rank="0" text="" dxfId="4">
      <formula>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26"/>
    <col collapsed="false" customWidth="true" hidden="false" outlineLevel="0" max="4" min="4" style="0" width="14"/>
    <col collapsed="false" customWidth="true" hidden="false" outlineLevel="0" max="5" min="5" style="0" width="15"/>
  </cols>
  <sheetData>
    <row r="1" customFormat="false" ht="25.5" hidden="false" customHeight="true" outlineLevel="0" collapsed="false">
      <c r="A1" s="1" t="s">
        <v>68</v>
      </c>
      <c r="B1" s="1"/>
      <c r="C1" s="1"/>
      <c r="D1" s="1"/>
      <c r="E1" s="1"/>
    </row>
    <row r="2" customFormat="false" ht="18" hidden="false" customHeight="true" outlineLevel="0" collapsed="false">
      <c r="A2" s="2" t="s">
        <v>228</v>
      </c>
      <c r="B2" s="2"/>
      <c r="C2" s="2"/>
      <c r="D2" s="2"/>
      <c r="E2" s="2"/>
    </row>
    <row r="4" customFormat="false" ht="30" hidden="false" customHeight="true" outlineLevel="0" collapsed="false">
      <c r="A4" s="25" t="s">
        <v>229</v>
      </c>
      <c r="B4" s="25" t="s">
        <v>230</v>
      </c>
      <c r="C4" s="25" t="s">
        <v>231</v>
      </c>
      <c r="D4" s="25" t="s">
        <v>232</v>
      </c>
      <c r="E4" s="25" t="s">
        <v>233</v>
      </c>
    </row>
    <row r="5" customFormat="false" ht="15" hidden="false" customHeight="false" outlineLevel="0" collapsed="false">
      <c r="A5" s="38" t="s">
        <v>234</v>
      </c>
      <c r="B5" s="42" t="n">
        <v>0.2</v>
      </c>
      <c r="C5" s="37" t="n">
        <f aca="false">AVERAGE('قیمت‌گذاری منو'!$O$5:$O$10)</f>
        <v>0.0860186868225914</v>
      </c>
      <c r="D5" s="39" t="n">
        <f aca="false">MIN(100,MAX(0,100*(2-(C5/'پروفایل کسب‌وکار'!$B$9))))</f>
        <v>100</v>
      </c>
      <c r="E5" s="39" t="n">
        <f aca="false">D5*B5</f>
        <v>20</v>
      </c>
    </row>
    <row r="6" customFormat="false" ht="15" hidden="false" customHeight="false" outlineLevel="0" collapsed="false">
      <c r="A6" s="38" t="s">
        <v>235</v>
      </c>
      <c r="B6" s="42" t="n">
        <v>0.2</v>
      </c>
      <c r="C6" s="37" t="n">
        <f aca="false">AVERAGE('قیمت‌گذاری منو'!$N$5:$N$10)</f>
        <v>-0.0607686050263622</v>
      </c>
      <c r="D6" s="39" t="n">
        <f aca="false">MIN(100,MAX(0,100*(C6/'پروفایل کسب‌وکار'!$B$11)))</f>
        <v>0</v>
      </c>
      <c r="E6" s="39" t="n">
        <f aca="false">D6*B6</f>
        <v>0</v>
      </c>
    </row>
    <row r="7" customFormat="false" ht="15" hidden="false" customHeight="false" outlineLevel="0" collapsed="false">
      <c r="A7" s="38" t="s">
        <v>236</v>
      </c>
      <c r="B7" s="42" t="n">
        <v>0.1</v>
      </c>
      <c r="C7" s="37" t="n">
        <f aca="false">AVERAGE('قیمت‌گذاری منو'!$L$5:$L$10)</f>
        <v>0.862809338505468</v>
      </c>
      <c r="D7" s="39" t="n">
        <f aca="false">MIN(100,MAX(0,100*(C7/'پروفایل کسب‌وکار'!$B$10)))</f>
        <v>100</v>
      </c>
      <c r="E7" s="39" t="n">
        <f aca="false">D7*B7</f>
        <v>10</v>
      </c>
    </row>
    <row r="8" customFormat="false" ht="15" hidden="false" customHeight="false" outlineLevel="0" collapsed="false">
      <c r="A8" s="38" t="s">
        <v>81</v>
      </c>
      <c r="B8" s="42" t="n">
        <v>0.1</v>
      </c>
      <c r="C8" s="37" t="n">
        <f aca="false">AVERAGE('بانک اطلاعات مواد اولیه'!$G$5:$G$16)</f>
        <v>0.0408333333333333</v>
      </c>
      <c r="D8" s="39" t="n">
        <f aca="false">MIN(100,MAX(0,100*(1-C8/0.15)))</f>
        <v>72.7777777777778</v>
      </c>
      <c r="E8" s="39" t="n">
        <f aca="false">D8*B8</f>
        <v>7.27777777777778</v>
      </c>
    </row>
    <row r="9" customFormat="false" ht="15" hidden="false" customHeight="false" outlineLevel="0" collapsed="false">
      <c r="A9" s="38" t="s">
        <v>237</v>
      </c>
      <c r="B9" s="42" t="n">
        <v>0.05</v>
      </c>
      <c r="C9" s="37" t="n">
        <f aca="false">AVERAGE('قیمت‌گذاری منو'!$D$5:$D$10)/AVERAGE('قیمت‌گذاری منو'!$J$5:$J$10)</f>
        <v>0.0516616314199396</v>
      </c>
      <c r="D9" s="39" t="n">
        <f aca="false">MIN(100,MAX(0,100*(1-C9/0.2)))</f>
        <v>74.1691842900302</v>
      </c>
      <c r="E9" s="39" t="n">
        <f aca="false">D9*B9</f>
        <v>3.70845921450151</v>
      </c>
    </row>
    <row r="10" customFormat="false" ht="15" hidden="false" customHeight="false" outlineLevel="0" collapsed="false">
      <c r="A10" s="38" t="s">
        <v>238</v>
      </c>
      <c r="B10" s="42" t="n">
        <v>0.1</v>
      </c>
      <c r="C10" s="37" t="n">
        <f aca="false">'هزینه‌های عملیاتی'!$B$20/'پروفایل کسب‌وکار'!$B$13</f>
        <v>0.526875</v>
      </c>
      <c r="D10" s="39" t="n">
        <f aca="false">MIN(100,MAX(0,100*(1-C10/0.6)))</f>
        <v>12.1875</v>
      </c>
      <c r="E10" s="39" t="n">
        <f aca="false">D10*B10</f>
        <v>1.21875</v>
      </c>
    </row>
    <row r="11" customFormat="false" ht="15" hidden="false" customHeight="false" outlineLevel="0" collapsed="false">
      <c r="A11" s="38" t="s">
        <v>239</v>
      </c>
      <c r="B11" s="42" t="n">
        <v>0.1</v>
      </c>
      <c r="C11" s="37" t="n">
        <f aca="false">COUNTIF('قیمت‌گذاری منو'!$M$5:$M$10,"&gt;=0")/COUNTA('قیمت‌گذاری منو'!$A$5:$A$10)</f>
        <v>0.666666666666667</v>
      </c>
      <c r="D11" s="39" t="n">
        <f aca="false">C11*100</f>
        <v>66.6666666666667</v>
      </c>
      <c r="E11" s="39" t="n">
        <f aca="false">D11*B11</f>
        <v>6.66666666666667</v>
      </c>
    </row>
    <row r="12" customFormat="false" ht="15" hidden="false" customHeight="false" outlineLevel="0" collapsed="false">
      <c r="A12" s="38" t="s">
        <v>240</v>
      </c>
      <c r="B12" s="42" t="n">
        <v>0.05</v>
      </c>
      <c r="C12" s="37" t="n">
        <f aca="false">COUNTIF('قیمت‌گذاری منو'!$T$5:$T$10,"&gt;=0")/COUNTA('قیمت‌گذاری منو'!$A$5:$A$10)</f>
        <v>0.5</v>
      </c>
      <c r="D12" s="39" t="n">
        <f aca="false">C12*100</f>
        <v>50</v>
      </c>
      <c r="E12" s="39" t="n">
        <f aca="false">D12*B12</f>
        <v>2.5</v>
      </c>
    </row>
    <row r="13" customFormat="false" ht="15" hidden="false" customHeight="false" outlineLevel="0" collapsed="false">
      <c r="A13" s="38" t="s">
        <v>241</v>
      </c>
      <c r="B13" s="42" t="n">
        <v>0.05</v>
      </c>
      <c r="C13" s="37" t="n">
        <f aca="false">SUMPRODUCT(('بانک اطلاعات مواد اولیه'!$I$5:$I$16&gt;='بانک اطلاعات مواد اولیه'!$J$5:$J$16)*1)/COUNTA('بانک اطلاعات مواد اولیه'!$A$5:$A$16)</f>
        <v>1</v>
      </c>
      <c r="D13" s="39" t="n">
        <f aca="false">C13*100</f>
        <v>100</v>
      </c>
      <c r="E13" s="39" t="n">
        <f aca="false">D13*B13</f>
        <v>5</v>
      </c>
    </row>
    <row r="14" customFormat="false" ht="15" hidden="false" customHeight="false" outlineLevel="0" collapsed="false">
      <c r="A14" s="38" t="s">
        <v>242</v>
      </c>
      <c r="B14" s="42" t="n">
        <v>0.05</v>
      </c>
      <c r="C14" s="37" t="n">
        <f aca="false">(COUNTIF('قیمت‌گذاری منو'!$U$5:$U$10,"عالی")+COUNTIF('قیمت‌گذاری منو'!$U$5:$U$10,"سالم"))/COUNTA('قیمت‌گذاری منو'!$A$5:$A$10)</f>
        <v>0.5</v>
      </c>
      <c r="D14" s="39" t="n">
        <f aca="false">C14*100</f>
        <v>50</v>
      </c>
      <c r="E14" s="39" t="n">
        <f aca="false">D14*B14</f>
        <v>2.5</v>
      </c>
    </row>
    <row r="16" customFormat="false" ht="16.15" hidden="false" customHeight="false" outlineLevel="0" collapsed="false">
      <c r="A16" s="43" t="s">
        <v>68</v>
      </c>
      <c r="D16" s="44" t="n">
        <f aca="false">SUM(E5:E14)</f>
        <v>58.871653658946</v>
      </c>
    </row>
    <row r="17" customFormat="false" ht="15" hidden="false" customHeight="false" outlineLevel="0" collapsed="false">
      <c r="A17" s="4" t="s">
        <v>243</v>
      </c>
      <c r="D17" s="45" t="str">
        <f aca="false">IF(D16&gt;=90,"عالی",IF(D16&gt;=75,"سالم",IF(D16&gt;=60,"نیاز به توجه",IF(D16&gt;=40,"ضعیف","بحرانی"))))</f>
        <v>ضعیف</v>
      </c>
    </row>
  </sheetData>
  <mergeCells count="2">
    <mergeCell ref="A1:E1"/>
    <mergeCell ref="A2:E2"/>
  </mergeCells>
  <conditionalFormatting sqref="D17">
    <cfRule type="cellIs" priority="2" operator="equal" aboveAverage="0" equalAverage="0" bottom="0" percent="0" rank="0" text="" dxfId="1">
      <formula>"عالی"</formula>
    </cfRule>
    <cfRule type="cellIs" priority="3" operator="equal" aboveAverage="0" equalAverage="0" bottom="0" percent="0" rank="0" text="" dxfId="2">
      <formula>"سالم"</formula>
    </cfRule>
    <cfRule type="cellIs" priority="4" operator="equal" aboveAverage="0" equalAverage="0" bottom="0" percent="0" rank="0" text="" dxfId="3">
      <formula>"نیاز به توجه"</formula>
    </cfRule>
    <cfRule type="cellIs" priority="5" operator="equal" aboveAverage="0" equalAverage="0" bottom="0" percent="0" rank="0" text="" dxfId="4">
      <formula>"ضعیف"</formula>
    </cfRule>
    <cfRule type="cellIs" priority="6" operator="equal" aboveAverage="0" equalAverage="0" bottom="0" percent="0" rank="0" text="" dxfId="5">
      <formula>"بحرانی"</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2026-08-06T09:59:31Z</dcterms:created>
  <dc:creator>openpyxl</dc:creator>
  <dc:description/>
  <dc:language>en-US</dc:language>
  <cp:lastModifiedBy/>
  <dcterms:modified xsi:type="dcterms:W3CDTF">2026-08-06T09:59:39Z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