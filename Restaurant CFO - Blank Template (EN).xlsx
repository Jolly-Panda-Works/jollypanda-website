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3"/>
    <sheet name="Business Profile" sheetId="2" state="visible" r:id="rId4"/>
    <sheet name="Dashboard" sheetId="3" state="visible" r:id="rId5"/>
    <sheet name="Ingredients Database" sheetId="4" state="visible" r:id="rId6"/>
    <sheet name="Recipe Builder" sheetId="5" state="visible" r:id="rId7"/>
    <sheet name="Packaging" sheetId="6" state="visible" r:id="rId8"/>
    <sheet name="Operating Expenses" sheetId="7" state="visible" r:id="rId9"/>
    <sheet name="Menu Pricing" sheetId="8" state="visible" r:id="rId10"/>
    <sheet name="Sales" sheetId="9" state="visible" r:id="rId11"/>
    <sheet name="Inventory Summary" sheetId="10" state="visible" r:id="rId12"/>
    <sheet name="Menu Engineering" sheetId="11" state="visible" r:id="rId13"/>
    <sheet name="Profit Leakage" sheetId="12" state="visible" r:id="rId14"/>
    <sheet name="Recommendations" sheetId="13" state="visible" r:id="rId15"/>
    <sheet name="Restaurant Health Score" sheetId="14" state="visible" r:id="rId16"/>
  </sheets>
  <definedNames>
    <definedName function="false" hidden="false" name="BP_Average_Daily_Orders" vbProcedure="false">'Business Profile'!$B$14</definedName>
    <definedName function="false" hidden="false" name="BP_Average_Items_per_Order" vbProcedure="false">'Business Profile'!$B$15</definedName>
    <definedName function="false" hidden="false" name="BP_Average_Ticket_Size" vbProcedure="false">'Business Profile'!$B$16</definedName>
    <definedName function="false" hidden="false" name="BP_Business_Name" vbProcedure="false">'Business Profile'!$B$5</definedName>
    <definedName function="false" hidden="false" name="BP_Currency" vbProcedure="false">'Business Profile'!$B$6</definedName>
    <definedName function="false" hidden="false" name="BP_Expected_Monthly_Revenue" vbProcedure="false">'Business Profile'!$B$13</definedName>
    <definedName function="false" hidden="false" name="BP_Target_Food_Cost_Pct" vbProcedure="false">'Business Profile'!$B$9</definedName>
    <definedName function="false" hidden="false" name="BP_Target_Gross_Margin_Pct" vbProcedure="false">'Business Profile'!$B$10</definedName>
    <definedName function="false" hidden="false" name="BP_Target_Monthly_Profit" vbProcedure="false">'Business Profile'!$B$12</definedName>
    <definedName function="false" hidden="false" name="BP_Target_Net_Margin_Pct" vbProcedure="false">'Business Profile'!$B$11</definedName>
    <definedName function="false" hidden="false" name="BP_VAT_Pct" vbProcedure="false">'Business Profile'!$B$7</definedName>
    <definedName function="false" hidden="false" name="BP_Working_Days_per_Month" vbProcedure="false">'Business Profile'!$B$8</definedName>
    <definedName function="false" hidden="false" name="Cost_Per_Order" vbProcedure="false">'Operating Expenses'!$B$24</definedName>
    <definedName function="false" hidden="false" name="Health_Level" vbProcedure="false">'Restaurant Health Score'!$D$17</definedName>
    <definedName function="false" hidden="false" name="Health_Score" vbProcedure="false">'Restaurant Health Score'!$D$16</definedName>
    <definedName function="false" hidden="false" name="Ingredients_First" vbProcedure="false">'Ingredients Database'!$A$5</definedName>
    <definedName function="false" hidden="false" name="Ingredients_Last" vbProcedure="false">'Ingredients Database'!$A$16</definedName>
    <definedName function="false" hidden="false" name="Menu_First" vbProcedure="false">'Menu Pricing'!$A$5</definedName>
    <definedName function="false" hidden="false" name="Menu_Last" vbProcedure="false">'Menu Pricing'!$A$10</definedName>
    <definedName function="false" hidden="false" name="Monthly_Overhead" vbProcedure="false">'Operating Expenses'!$B$20</definedName>
    <definedName function="false" hidden="false" name="Overhead_Per_Item" vbProcedure="false">'Operating Expenses'!$B$26</definedName>
    <definedName function="false" hidden="false" name="Recipe_Summary_First" vbProcedure="false">'Recipe Builder'!$A$29</definedName>
    <definedName function="false" hidden="false" name="Recipe_Summary_Last" vbProcedure="false">'Recipe Builder'!$A$34</definedName>
    <definedName function="false" hidden="false" name="Sales_First" vbProcedure="false">Sales!$A$5</definedName>
    <definedName function="false" hidden="false" name="Sales_Last" vbProcedure="false">Sales!$A$124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Helper table for the charts below — do not delete.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6" authorId="0">
      <text>
        <r>
          <rPr>
            <sz val="10"/>
            <rFont val="Arial"/>
            <family val="2"/>
          </rPr>
          <t xml:space="preserve">Overhead is spread across the items in a typical order (Cost per Order ÷ Average Items per Order), not charged in full to every single item. Adjust 'Average Items per Order' in Business Profile to match your ticket mix.</t>
        </r>
      </text>
    </comment>
  </commentList>
</comments>
</file>

<file path=xl/sharedStrings.xml><?xml version="1.0" encoding="utf-8"?>
<sst xmlns="http://schemas.openxmlformats.org/spreadsheetml/2006/main" count="395" uniqueCount="215">
  <si>
    <t xml:space="preserve">Restaurant CFO</t>
  </si>
  <si>
    <t xml:space="preserve">A Financial Intelligence Toolkit for Restaurants — not just a calculator.</t>
  </si>
  <si>
    <t xml:space="preserve">What this workbook does</t>
  </si>
  <si>
    <t xml:space="preserve">Purpose</t>
  </si>
  <si>
    <t xml:space="preserve">Turns your raw restaurant numbers (ingredients, recipes, expenses, sales) into pricing decisions, a profitability score, and a prioritized action list.</t>
  </si>
  <si>
    <t xml:space="preserve">Color guide</t>
  </si>
  <si>
    <t xml:space="preserve">Blue text / yellow fill</t>
  </si>
  <si>
    <t xml:space="preserve">Cells you edit — your own data goes here.</t>
  </si>
  <si>
    <t xml:space="preserve">Black text</t>
  </si>
  <si>
    <t xml:space="preserve">Formulas — do not overwrite, they recalculate automatically.</t>
  </si>
  <si>
    <t xml:space="preserve">Green text</t>
  </si>
  <si>
    <t xml:space="preserve">Values pulled automatically from another sheet.</t>
  </si>
  <si>
    <t xml:space="preserve">Workflow (do this in order)</t>
  </si>
  <si>
    <t xml:space="preserve">1. Business Profile — set your currency, VAT, targets and working days.</t>
  </si>
  <si>
    <t xml:space="preserve">2. Ingredients Database — list every raw ingredient and its purchase price.</t>
  </si>
  <si>
    <t xml:space="preserve">3. Recipe Builder — build each menu item's recipe from those ingredients.</t>
  </si>
  <si>
    <t xml:space="preserve">4. Packaging — add packaging cost per menu item.</t>
  </si>
  <si>
    <t xml:space="preserve">5. Operating Expenses — enter fixed monthly overhead (rent, salaries, etc.).</t>
  </si>
  <si>
    <t xml:space="preserve">6. Menu Pricing — set selling prices; review the auto-calculated margins and status.</t>
  </si>
  <si>
    <t xml:space="preserve">7. Sales — log daily sales by item (or paste from your POS export).</t>
  </si>
  <si>
    <t xml:space="preserve">8. Everything downstream (Dashboard, Health Score, Menu Engineering, Profit Leakage,</t>
  </si>
  <si>
    <t xml:space="preserve">   Recommendations) recalculates automatically — nothing else to enter.</t>
  </si>
  <si>
    <t xml:space="preserve">Recommended update frequency</t>
  </si>
  <si>
    <t xml:space="preserve">Sales</t>
  </si>
  <si>
    <t xml:space="preserve">Daily or weekly (paste from POS)</t>
  </si>
  <si>
    <t xml:space="preserve">Ingredients / purchase prices</t>
  </si>
  <si>
    <t xml:space="preserve">Whenever a supplier price changes</t>
  </si>
  <si>
    <t xml:space="preserve">Recipe Builder</t>
  </si>
  <si>
    <t xml:space="preserve">When a recipe changes</t>
  </si>
  <si>
    <t xml:space="preserve">Operating Expenses</t>
  </si>
  <si>
    <t xml:space="preserve">Monthly</t>
  </si>
  <si>
    <t xml:space="preserve">Menu Pricing review</t>
  </si>
  <si>
    <t xml:space="preserve">Monthly — check the Profit Status column</t>
  </si>
  <si>
    <t xml:space="preserve">Included in this version</t>
  </si>
  <si>
    <t xml:space="preserve">Business Profile, Ingredients Database, Recipe Builder, Packaging, Operating Expenses,</t>
  </si>
  <si>
    <t xml:space="preserve">Menu Pricing, Sales, Inventory Summary, Dashboard, Restaurant Health Score,</t>
  </si>
  <si>
    <t xml:space="preserve">Menu Engineering, Profit Leakage, and Recommendations.</t>
  </si>
  <si>
    <t xml:space="preserve">Not yet built (available on request)</t>
  </si>
  <si>
    <t xml:space="preserve">Scenario Simulator, Opportunity Score, and the printable Executive Report.</t>
  </si>
  <si>
    <t xml:space="preserve">Notes on formulas</t>
  </si>
  <si>
    <t xml:space="preserve">This workbook uses INDEX/MATCH and SUMIFS rather than XLOOKUP/FILTER/SORT, so every formula recalculates correctly in any version of Excel or LibreOffice.</t>
  </si>
  <si>
    <t xml:space="preserve">Business Profile</t>
  </si>
  <si>
    <t xml:space="preserve">Core settings used across the whole workbook.</t>
  </si>
  <si>
    <t xml:space="preserve">Field</t>
  </si>
  <si>
    <t xml:space="preserve">Value</t>
  </si>
  <si>
    <t xml:space="preserve">Business Name</t>
  </si>
  <si>
    <t xml:space="preserve">Currency</t>
  </si>
  <si>
    <t xml:space="preserve">USD</t>
  </si>
  <si>
    <t xml:space="preserve">VAT %</t>
  </si>
  <si>
    <t xml:space="preserve">Working Days per Month</t>
  </si>
  <si>
    <t xml:space="preserve">Target Food Cost %</t>
  </si>
  <si>
    <t xml:space="preserve">Target Gross Margin %</t>
  </si>
  <si>
    <t xml:space="preserve">Target Net Margin %</t>
  </si>
  <si>
    <t xml:space="preserve">Target Monthly Profit</t>
  </si>
  <si>
    <t xml:space="preserve">Expected Monthly Revenue</t>
  </si>
  <si>
    <t xml:space="preserve">Average Daily Orders</t>
  </si>
  <si>
    <t xml:space="preserve">Average Items per Order</t>
  </si>
  <si>
    <t xml:space="preserve">Average Ticket Size (calculated)</t>
  </si>
  <si>
    <t xml:space="preserve">Executive Dashboard</t>
  </si>
  <si>
    <t xml:space="preserve">Restaurant CFO — live snapshot</t>
  </si>
  <si>
    <t xml:space="preserve">Total Revenue (period)</t>
  </si>
  <si>
    <t xml:space="preserve">Total Gross Profit (period)</t>
  </si>
  <si>
    <t xml:space="preserve">Total Net Profit (period)</t>
  </si>
  <si>
    <t xml:space="preserve">Average Food Cost %</t>
  </si>
  <si>
    <t xml:space="preserve">Average Net Margin %</t>
  </si>
  <si>
    <t xml:space="preserve">Average Profit per Sale</t>
  </si>
  <si>
    <t xml:space="preserve">Monthly Estimated Profit</t>
  </si>
  <si>
    <t xml:space="preserve">Restaurant Health Score</t>
  </si>
  <si>
    <t xml:space="preserve">Menu Item</t>
  </si>
  <si>
    <t xml:space="preserve">Revenue</t>
  </si>
  <si>
    <t xml:space="preserve">Net Profit</t>
  </si>
  <si>
    <t xml:space="preserve">Units Sold</t>
  </si>
  <si>
    <t xml:space="preserve">Ingredients Database</t>
  </si>
  <si>
    <t xml:space="preserve">Every raw ingredient, priced back to a usable cost per gram / piece / liter.</t>
  </si>
  <si>
    <t xml:space="preserve">Ingredient</t>
  </si>
  <si>
    <t xml:space="preserve">Category</t>
  </si>
  <si>
    <t xml:space="preserve">Supplier</t>
  </si>
  <si>
    <t xml:space="preserve">Purchase Unit</t>
  </si>
  <si>
    <t xml:space="preserve">Package Size</t>
  </si>
  <si>
    <t xml:space="preserve">Purchase Price</t>
  </si>
  <si>
    <t xml:space="preserve">Waste %</t>
  </si>
  <si>
    <t xml:space="preserve">Yield %</t>
  </si>
  <si>
    <t xml:space="preserve">Current Stock</t>
  </si>
  <si>
    <t xml:space="preserve">Minimum Stock</t>
  </si>
  <si>
    <t xml:space="preserve">Real Unit Cost</t>
  </si>
  <si>
    <t xml:space="preserve">Cost per Gram</t>
  </si>
  <si>
    <t xml:space="preserve">Cost per Piece</t>
  </si>
  <si>
    <t xml:space="preserve">Cost per Liter</t>
  </si>
  <si>
    <t xml:space="preserve">Last Purchase Date</t>
  </si>
  <si>
    <t xml:space="preserve">Notes</t>
  </si>
  <si>
    <t xml:space="preserve">Ingredient 1</t>
  </si>
  <si>
    <t xml:space="preserve">Ingredient 2</t>
  </si>
  <si>
    <t xml:space="preserve">Ingredient 3</t>
  </si>
  <si>
    <t xml:space="preserve">Ingredient 4</t>
  </si>
  <si>
    <t xml:space="preserve">Ingredient 5</t>
  </si>
  <si>
    <t xml:space="preserve">Ingredient 6</t>
  </si>
  <si>
    <t xml:space="preserve">Ingredient 7</t>
  </si>
  <si>
    <t xml:space="preserve">Ingredient 8</t>
  </si>
  <si>
    <t xml:space="preserve">Ingredient 9</t>
  </si>
  <si>
    <t xml:space="preserve">Ingredient 10</t>
  </si>
  <si>
    <t xml:space="preserve">Ingredient 11</t>
  </si>
  <si>
    <t xml:space="preserve">Ingredient 12</t>
  </si>
  <si>
    <t xml:space="preserve">Line-by-line recipes. Ingredient cost pulls automatically from Ingredients Database.</t>
  </si>
  <si>
    <t xml:space="preserve">Recipe Name</t>
  </si>
  <si>
    <t xml:space="preserve">Quantity</t>
  </si>
  <si>
    <t xml:space="preserve">Unit</t>
  </si>
  <si>
    <t xml:space="preserve">Ingredient Cost</t>
  </si>
  <si>
    <t xml:space="preserve">Portion Weight (g)</t>
  </si>
  <si>
    <t xml:space="preserve">Recipe Notes</t>
  </si>
  <si>
    <t xml:space="preserve">Menu Item 1</t>
  </si>
  <si>
    <t xml:space="preserve">Menu Item 2</t>
  </si>
  <si>
    <t xml:space="preserve">Menu Item 3</t>
  </si>
  <si>
    <t xml:space="preserve">Menu Item 4</t>
  </si>
  <si>
    <t xml:space="preserve">Menu Item 5</t>
  </si>
  <si>
    <t xml:space="preserve">Menu Item 6</t>
  </si>
  <si>
    <t xml:space="preserve">Recipe Cost Summary</t>
  </si>
  <si>
    <t xml:space="preserve">Total Recipe Cost</t>
  </si>
  <si>
    <t xml:space="preserve">Total Portion Weight (g)</t>
  </si>
  <si>
    <t xml:space="preserve">Serving Size</t>
  </si>
  <si>
    <t xml:space="preserve">Packaging</t>
  </si>
  <si>
    <t xml:space="preserve">Packaging cost per menu item, linked into Menu Pricing.</t>
  </si>
  <si>
    <t xml:space="preserve">Container</t>
  </si>
  <si>
    <t xml:space="preserve">Box</t>
  </si>
  <si>
    <t xml:space="preserve">Bag</t>
  </si>
  <si>
    <t xml:space="preserve">Napkin/Cutlery</t>
  </si>
  <si>
    <t xml:space="preserve">Sauce Cup</t>
  </si>
  <si>
    <t xml:space="preserve">Label</t>
  </si>
  <si>
    <t xml:space="preserve">Delivery Packaging</t>
  </si>
  <si>
    <t xml:space="preserve">Total Packaging Cost</t>
  </si>
  <si>
    <t xml:space="preserve">Fixed monthly overhead, allocated down to a cost-per-order figure.</t>
  </si>
  <si>
    <t xml:space="preserve">Expense Category</t>
  </si>
  <si>
    <t xml:space="preserve">Monthly Amount</t>
  </si>
  <si>
    <t xml:space="preserve">Rent</t>
  </si>
  <si>
    <t xml:space="preserve">Electricity</t>
  </si>
  <si>
    <t xml:space="preserve">Gas</t>
  </si>
  <si>
    <t xml:space="preserve">Water</t>
  </si>
  <si>
    <t xml:space="preserve">Internet</t>
  </si>
  <si>
    <t xml:space="preserve">Insurance</t>
  </si>
  <si>
    <t xml:space="preserve">Cleaning</t>
  </si>
  <si>
    <t xml:space="preserve">Marketing</t>
  </si>
  <si>
    <t xml:space="preserve">Software / POS</t>
  </si>
  <si>
    <t xml:space="preserve">Equipment (lease/maint.)</t>
  </si>
  <si>
    <t xml:space="preserve">Staff Salaries</t>
  </si>
  <si>
    <t xml:space="preserve">Taxes (non-VAT)</t>
  </si>
  <si>
    <t xml:space="preserve">Delivery Platform Fees</t>
  </si>
  <si>
    <t xml:space="preserve">Miscellaneous</t>
  </si>
  <si>
    <t xml:space="preserve">Monthly Overhead</t>
  </si>
  <si>
    <t xml:space="preserve">Working Days / Month (from Business Profile)</t>
  </si>
  <si>
    <t xml:space="preserve">Daily Overhead</t>
  </si>
  <si>
    <t xml:space="preserve">Average Daily Orders (from Business Profile)</t>
  </si>
  <si>
    <t xml:space="preserve">Cost per Order</t>
  </si>
  <si>
    <t xml:space="preserve">Average Items per Order (from Business Profile)</t>
  </si>
  <si>
    <t xml:space="preserve">Allocated Overhead per Menu Item</t>
  </si>
  <si>
    <t xml:space="preserve">Menu Pricing</t>
  </si>
  <si>
    <t xml:space="preserve">The financial engine: every cost, margin, and pricing recommendation per menu item.</t>
  </si>
  <si>
    <t xml:space="preserve">Recipe Cost</t>
  </si>
  <si>
    <t xml:space="preserve">Packaging Cost</t>
  </si>
  <si>
    <t xml:space="preserve">Labor Cost</t>
  </si>
  <si>
    <t xml:space="preserve">Allocated Overhead</t>
  </si>
  <si>
    <t xml:space="preserve">Delivery Commission</t>
  </si>
  <si>
    <t xml:space="preserve">VAT</t>
  </si>
  <si>
    <t xml:space="preserve">Total Cost</t>
  </si>
  <si>
    <t xml:space="preserve">Selling Price</t>
  </si>
  <si>
    <t xml:space="preserve">Gross Profit</t>
  </si>
  <si>
    <t xml:space="preserve">Gross Margin %</t>
  </si>
  <si>
    <t xml:space="preserve">Net Margin %</t>
  </si>
  <si>
    <t xml:space="preserve">Food Cost %</t>
  </si>
  <si>
    <t xml:space="preserve">Markup %</t>
  </si>
  <si>
    <t xml:space="preserve">Break-even Price</t>
  </si>
  <si>
    <t xml:space="preserve">Recommended Price</t>
  </si>
  <si>
    <t xml:space="preserve">Target Price</t>
  </si>
  <si>
    <t xml:space="preserve">Price Gap</t>
  </si>
  <si>
    <t xml:space="preserve">Profit Status</t>
  </si>
  <si>
    <t xml:space="preserve">Daily sales log. Paste from your POS export — revenue and profit calculate automatically.</t>
  </si>
  <si>
    <t xml:space="preserve">Date</t>
  </si>
  <si>
    <t xml:space="preserve">Inventory Summary</t>
  </si>
  <si>
    <t xml:space="preserve">Stock position and reorder alerts, pulled from Ingredients Database.</t>
  </si>
  <si>
    <t xml:space="preserve">Reorder Needed</t>
  </si>
  <si>
    <t xml:space="preserve">Estimated Inventory Value</t>
  </si>
  <si>
    <t xml:space="preserve">Menu Engineering</t>
  </si>
  <si>
    <t xml:space="preserve">Classic Star / Plow Horse / Puzzle / Dog matrix, based on actual sales volume and margin.</t>
  </si>
  <si>
    <t xml:space="preserve">Units Sold (period)</t>
  </si>
  <si>
    <t xml:space="preserve">Avg Units Sold</t>
  </si>
  <si>
    <t xml:space="preserve">Avg Gross Margin %</t>
  </si>
  <si>
    <t xml:space="preserve">Classification</t>
  </si>
  <si>
    <t xml:space="preserve">Recommendation</t>
  </si>
  <si>
    <t xml:space="preserve">Profit Leakage</t>
  </si>
  <si>
    <t xml:space="preserve">Where money is actually being lost, item by item, estimated in dollars per month.</t>
  </si>
  <si>
    <t xml:space="preserve">Leak Type</t>
  </si>
  <si>
    <t xml:space="preserve">Detail</t>
  </si>
  <si>
    <t xml:space="preserve">Gap per Unit</t>
  </si>
  <si>
    <t xml:space="preserve">Monthly Units Sold (proj.)</t>
  </si>
  <si>
    <t xml:space="preserve">Estimated Monthly Loss</t>
  </si>
  <si>
    <t xml:space="preserve">Total Estimated Monthly Profit Leakage</t>
  </si>
  <si>
    <t xml:space="preserve">Recommendations</t>
  </si>
  <si>
    <t xml:space="preserve">Automatically generated, prioritized actions based on the rest of the workbook.</t>
  </si>
  <si>
    <t xml:space="preserve">Priority</t>
  </si>
  <si>
    <t xml:space="preserve">Estimated Impact</t>
  </si>
  <si>
    <t xml:space="preserve">A single 0–100 score combining ten weighted profitability factors.</t>
  </si>
  <si>
    <t xml:space="preserve">Factor</t>
  </si>
  <si>
    <t xml:space="preserve">Weight</t>
  </si>
  <si>
    <t xml:space="preserve">Raw Metric</t>
  </si>
  <si>
    <t xml:space="preserve">Score (0-100)</t>
  </si>
  <si>
    <t xml:space="preserve">Weighted Score</t>
  </si>
  <si>
    <t xml:space="preserve">Food Cost</t>
  </si>
  <si>
    <t xml:space="preserve">Net Margin</t>
  </si>
  <si>
    <t xml:space="preserve">Gross Margin</t>
  </si>
  <si>
    <t xml:space="preserve">Packaging Cost Ratio</t>
  </si>
  <si>
    <t xml:space="preserve">Overhead Ratio</t>
  </si>
  <si>
    <t xml:space="preserve">Profitability (items not losing money)</t>
  </si>
  <si>
    <t xml:space="preserve">Pricing Accuracy (at/above recommended)</t>
  </si>
  <si>
    <t xml:space="preserve">Inventory Health (stock above minimum)</t>
  </si>
  <si>
    <t xml:space="preserve">Low-Margin Item Share (Excellent/Healthy)</t>
  </si>
  <si>
    <t xml:space="preserve">RESTAURANT HEALTH SCORE</t>
  </si>
  <si>
    <t xml:space="preserve">Performance Level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</si>
</sst>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"/>
    <numFmt numFmtId="167" formatCode="\$#,##0"/>
    <numFmt numFmtId="168" formatCode="0.0"/>
    <numFmt numFmtId="169" formatCode="\$#,##0.00"/>
    <numFmt numFmtId="170" formatCode="\$#,##0.0000"/>
    <numFmt numFmtId="171" formatCode="yyyy\-mm\-dd"/>
    <numFmt numFmtId="172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1E7A3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B0002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9DB"/>
        <bgColor rgb="FFF9F9F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747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E7A34"/>
      <rgbColor rgb="FFBFBFBF"/>
      <rgbColor rgb="FF878787"/>
      <rgbColor rgb="FF9999FF"/>
      <rgbColor rgb="FFC0504D"/>
      <rgbColor rgb="FFFFF9D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B00020"/>
      <rgbColor rgb="FF008080"/>
      <rgbColor rgb="FF0000FF"/>
      <rgbColor rgb="FF00CCFF"/>
      <rgbColor rgb="FFF2F2F2"/>
      <rgbColor rgb="FFC6EFCE"/>
      <rgbColor rgb="FFFFEB9C"/>
      <rgbColor rgb="FFF9F9F9"/>
      <rgbColor rgb="FFFCE4D6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74706"/>
      <rgbColor rgb="FF993366"/>
      <rgbColor rgb="FF1F4E9C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Menu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Dashboard!$A$15:$A$20</c:f>
              <c:strCache>
                <c:ptCount val="6"/>
                <c:pt idx="0">
                  <c:v>Menu Item 1</c:v>
                </c:pt>
                <c:pt idx="1">
                  <c:v>Menu Item 2</c:v>
                </c:pt>
                <c:pt idx="2">
                  <c:v>Menu Item 3</c:v>
                </c:pt>
                <c:pt idx="3">
                  <c:v>Menu Item 4</c:v>
                </c:pt>
                <c:pt idx="4">
                  <c:v>Menu Item 5</c:v>
                </c:pt>
                <c:pt idx="5">
                  <c:v>Menu Item 6</c:v>
                </c:pt>
              </c:strCache>
            </c:strRef>
          </c:cat>
          <c:val>
            <c:numRef>
              <c:f>Dashboard!$B$15:$B$20</c:f>
              <c:numCache>
                <c:formatCode>\$#,##0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765001"/>
        <c:axId val="70596994"/>
      </c:barChart>
      <c:catAx>
        <c:axId val="776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96994"/>
        <c:crosses val="autoZero"/>
        <c:auto val="1"/>
        <c:lblAlgn val="ctr"/>
        <c:lblOffset val="100"/>
        <c:noMultiLvlLbl val="0"/>
      </c:catAx>
      <c:valAx>
        <c:axId val="70596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5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Menu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Dashboard!$A$15:$A$20</c:f>
              <c:strCache>
                <c:ptCount val="6"/>
                <c:pt idx="0">
                  <c:v>Menu Item 1</c:v>
                </c:pt>
                <c:pt idx="1">
                  <c:v>Menu Item 2</c:v>
                </c:pt>
                <c:pt idx="2">
                  <c:v>Menu Item 3</c:v>
                </c:pt>
                <c:pt idx="3">
                  <c:v>Menu Item 4</c:v>
                </c:pt>
                <c:pt idx="4">
                  <c:v>Menu Item 5</c:v>
                </c:pt>
                <c:pt idx="5">
                  <c:v>Menu Item 6</c:v>
                </c:pt>
              </c:strCache>
            </c:strRef>
          </c:cat>
          <c:val>
            <c:numRef>
              <c:f>Dashboard!$C$15:$C$20</c:f>
              <c:numCache>
                <c:formatCode>\$#,##0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13576503"/>
        <c:axId val="90551158"/>
      </c:barChart>
      <c:catAx>
        <c:axId val="135765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51158"/>
        <c:crosses val="autoZero"/>
        <c:auto val="1"/>
        <c:lblAlgn val="ctr"/>
        <c:lblOffset val="100"/>
        <c:noMultiLvlLbl val="0"/>
      </c:catAx>
      <c:valAx>
        <c:axId val="90551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76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5</xdr:col>
      <xdr:colOff>817560</xdr:colOff>
      <xdr:row>37</xdr:row>
      <xdr:rowOff>21240</xdr:rowOff>
    </xdr:to>
    <xdr:graphicFrame>
      <xdr:nvGraphicFramePr>
        <xdr:cNvPr id="0" name="Chart 1"/>
        <xdr:cNvGraphicFramePr/>
      </xdr:nvGraphicFramePr>
      <xdr:xfrm>
        <a:off x="0" y="4552920"/>
        <a:ext cx="539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0</xdr:rowOff>
    </xdr:from>
    <xdr:to>
      <xdr:col>12</xdr:col>
      <xdr:colOff>203760</xdr:colOff>
      <xdr:row>37</xdr:row>
      <xdr:rowOff>21240</xdr:rowOff>
    </xdr:to>
    <xdr:graphicFrame>
      <xdr:nvGraphicFramePr>
        <xdr:cNvPr id="1" name="Chart 2"/>
        <xdr:cNvGraphicFramePr/>
      </xdr:nvGraphicFramePr>
      <xdr:xfrm>
        <a:off x="4581360" y="4552920"/>
        <a:ext cx="539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  <col collapsed="false" customWidth="true" hidden="false" outlineLevel="0" max="6" min="4" style="1" width="3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B4" s="4" t="s">
        <v>2</v>
      </c>
    </row>
    <row r="5" customFormat="false" ht="34.5" hidden="false" customHeight="true" outlineLevel="0" collapsed="false">
      <c r="B5" s="5" t="s">
        <v>3</v>
      </c>
      <c r="C5" s="6" t="s">
        <v>4</v>
      </c>
    </row>
    <row r="7" customFormat="false" ht="15" hidden="false" customHeight="true" outlineLevel="0" collapsed="false">
      <c r="B7" s="4" t="s">
        <v>5</v>
      </c>
    </row>
    <row r="8" customFormat="false" ht="15" hidden="false" customHeight="true" outlineLevel="0" collapsed="false">
      <c r="B8" s="7" t="s">
        <v>6</v>
      </c>
      <c r="C8" s="1" t="s">
        <v>7</v>
      </c>
    </row>
    <row r="9" customFormat="false" ht="15" hidden="false" customHeight="true" outlineLevel="0" collapsed="false">
      <c r="B9" s="8" t="s">
        <v>8</v>
      </c>
      <c r="C9" s="1" t="s">
        <v>9</v>
      </c>
    </row>
    <row r="10" customFormat="false" ht="15" hidden="false" customHeight="true" outlineLevel="0" collapsed="false">
      <c r="B10" s="9" t="s">
        <v>10</v>
      </c>
      <c r="C10" s="1" t="s">
        <v>11</v>
      </c>
    </row>
    <row r="12" customFormat="false" ht="15" hidden="false" customHeight="true" outlineLevel="0" collapsed="false">
      <c r="B12" s="4" t="s">
        <v>12</v>
      </c>
    </row>
    <row r="13" customFormat="false" ht="15" hidden="false" customHeight="true" outlineLevel="0" collapsed="false">
      <c r="C13" s="8" t="s">
        <v>13</v>
      </c>
    </row>
    <row r="14" customFormat="false" ht="15" hidden="false" customHeight="true" outlineLevel="0" collapsed="false">
      <c r="C14" s="8" t="s">
        <v>14</v>
      </c>
    </row>
    <row r="15" customFormat="false" ht="15" hidden="false" customHeight="true" outlineLevel="0" collapsed="false">
      <c r="C15" s="8" t="s">
        <v>15</v>
      </c>
    </row>
    <row r="16" customFormat="false" ht="15" hidden="false" customHeight="true" outlineLevel="0" collapsed="false">
      <c r="C16" s="8" t="s">
        <v>16</v>
      </c>
    </row>
    <row r="17" customFormat="false" ht="15" hidden="false" customHeight="true" outlineLevel="0" collapsed="false">
      <c r="C17" s="8" t="s">
        <v>17</v>
      </c>
    </row>
    <row r="18" customFormat="false" ht="15" hidden="false" customHeight="true" outlineLevel="0" collapsed="false">
      <c r="C18" s="8" t="s">
        <v>18</v>
      </c>
    </row>
    <row r="19" customFormat="false" ht="15" hidden="false" customHeight="true" outlineLevel="0" collapsed="false">
      <c r="C19" s="8" t="s">
        <v>19</v>
      </c>
    </row>
    <row r="20" customFormat="false" ht="15" hidden="false" customHeight="true" outlineLevel="0" collapsed="false">
      <c r="C20" s="8" t="s">
        <v>20</v>
      </c>
    </row>
    <row r="21" customFormat="false" ht="15" hidden="false" customHeight="true" outlineLevel="0" collapsed="false">
      <c r="C21" s="8" t="s">
        <v>21</v>
      </c>
    </row>
    <row r="23" customFormat="false" ht="15" hidden="false" customHeight="true" outlineLevel="0" collapsed="false">
      <c r="B23" s="4" t="s">
        <v>22</v>
      </c>
    </row>
    <row r="24" customFormat="false" ht="15" hidden="false" customHeight="true" outlineLevel="0" collapsed="false">
      <c r="B24" s="5" t="s">
        <v>23</v>
      </c>
      <c r="C24" s="6" t="s">
        <v>24</v>
      </c>
    </row>
    <row r="25" customFormat="false" ht="15" hidden="false" customHeight="true" outlineLevel="0" collapsed="false">
      <c r="B25" s="5" t="s">
        <v>25</v>
      </c>
      <c r="C25" s="6" t="s">
        <v>26</v>
      </c>
    </row>
    <row r="26" customFormat="false" ht="15" hidden="false" customHeight="true" outlineLevel="0" collapsed="false">
      <c r="B26" s="5" t="s">
        <v>27</v>
      </c>
      <c r="C26" s="6" t="s">
        <v>28</v>
      </c>
    </row>
    <row r="27" customFormat="false" ht="15" hidden="false" customHeight="true" outlineLevel="0" collapsed="false">
      <c r="B27" s="5" t="s">
        <v>29</v>
      </c>
      <c r="C27" s="6" t="s">
        <v>30</v>
      </c>
    </row>
    <row r="28" customFormat="false" ht="15" hidden="false" customHeight="true" outlineLevel="0" collapsed="false">
      <c r="B28" s="5" t="s">
        <v>31</v>
      </c>
      <c r="C28" s="6" t="s">
        <v>32</v>
      </c>
    </row>
    <row r="30" customFormat="false" ht="15" hidden="false" customHeight="true" outlineLevel="0" collapsed="false">
      <c r="B30" s="4" t="s">
        <v>33</v>
      </c>
    </row>
    <row r="31" customFormat="false" ht="15" hidden="false" customHeight="true" outlineLevel="0" collapsed="false">
      <c r="C31" s="8" t="s">
        <v>34</v>
      </c>
    </row>
    <row r="32" customFormat="false" ht="15" hidden="false" customHeight="true" outlineLevel="0" collapsed="false">
      <c r="C32" s="8" t="s">
        <v>35</v>
      </c>
    </row>
    <row r="33" customFormat="false" ht="15" hidden="false" customHeight="true" outlineLevel="0" collapsed="false">
      <c r="C33" s="8" t="s">
        <v>36</v>
      </c>
    </row>
    <row r="35" customFormat="false" ht="15" hidden="false" customHeight="true" outlineLevel="0" collapsed="false">
      <c r="B35" s="4" t="s">
        <v>37</v>
      </c>
    </row>
    <row r="36" customFormat="false" ht="15" hidden="false" customHeight="true" outlineLevel="0" collapsed="false">
      <c r="C36" s="8" t="s">
        <v>38</v>
      </c>
    </row>
    <row r="37" customFormat="false" ht="15" hidden="false" customHeight="true" outlineLevel="0" collapsed="false">
      <c r="B37" s="4" t="s">
        <v>39</v>
      </c>
    </row>
    <row r="38" customFormat="false" ht="30" hidden="false" customHeight="true" outlineLevel="0" collapsed="false">
      <c r="C38" s="6" t="s">
        <v>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3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41</v>
      </c>
      <c r="B1" s="2"/>
      <c r="C1" s="2"/>
      <c r="D1" s="2"/>
    </row>
    <row r="2" customFormat="false" ht="18" hidden="false" customHeight="true" outlineLevel="0" collapsed="false">
      <c r="A2" s="3" t="s">
        <v>42</v>
      </c>
      <c r="B2" s="3"/>
      <c r="C2" s="3"/>
      <c r="D2" s="3"/>
    </row>
    <row r="4" customFormat="false" ht="19.5" hidden="false" customHeight="true" outlineLevel="0" collapsed="false">
      <c r="A4" s="10" t="s">
        <v>43</v>
      </c>
      <c r="B4" s="10" t="s">
        <v>44</v>
      </c>
    </row>
    <row r="5" customFormat="false" ht="15" hidden="false" customHeight="true" outlineLevel="0" collapsed="false">
      <c r="A5" s="5" t="s">
        <v>45</v>
      </c>
      <c r="B5" s="11"/>
    </row>
    <row r="6" customFormat="false" ht="15" hidden="false" customHeight="true" outlineLevel="0" collapsed="false">
      <c r="A6" s="5" t="s">
        <v>46</v>
      </c>
      <c r="B6" s="11" t="s">
        <v>47</v>
      </c>
    </row>
    <row r="7" customFormat="false" ht="15" hidden="false" customHeight="true" outlineLevel="0" collapsed="false">
      <c r="A7" s="5" t="s">
        <v>48</v>
      </c>
      <c r="B7" s="12" t="n">
        <v>0.08</v>
      </c>
    </row>
    <row r="8" customFormat="false" ht="15" hidden="false" customHeight="true" outlineLevel="0" collapsed="false">
      <c r="A8" s="5" t="s">
        <v>49</v>
      </c>
      <c r="B8" s="13" t="n">
        <v>26</v>
      </c>
    </row>
    <row r="9" customFormat="false" ht="15" hidden="false" customHeight="true" outlineLevel="0" collapsed="false">
      <c r="A9" s="5" t="s">
        <v>50</v>
      </c>
      <c r="B9" s="12" t="n">
        <v>0.3</v>
      </c>
    </row>
    <row r="10" customFormat="false" ht="15" hidden="false" customHeight="true" outlineLevel="0" collapsed="false">
      <c r="A10" s="5" t="s">
        <v>51</v>
      </c>
      <c r="B10" s="12" t="n">
        <v>0.65</v>
      </c>
    </row>
    <row r="11" customFormat="false" ht="15" hidden="false" customHeight="true" outlineLevel="0" collapsed="false">
      <c r="A11" s="5" t="s">
        <v>52</v>
      </c>
      <c r="B11" s="12" t="n">
        <v>0.15</v>
      </c>
    </row>
    <row r="12" customFormat="false" ht="15" hidden="false" customHeight="true" outlineLevel="0" collapsed="false">
      <c r="A12" s="5" t="s">
        <v>53</v>
      </c>
      <c r="B12" s="14" t="n">
        <v>0</v>
      </c>
    </row>
    <row r="13" customFormat="false" ht="15" hidden="false" customHeight="true" outlineLevel="0" collapsed="false">
      <c r="A13" s="5" t="s">
        <v>54</v>
      </c>
      <c r="B13" s="14" t="n">
        <v>0</v>
      </c>
    </row>
    <row r="14" customFormat="false" ht="15" hidden="false" customHeight="true" outlineLevel="0" collapsed="false">
      <c r="A14" s="5" t="s">
        <v>55</v>
      </c>
      <c r="B14" s="13" t="n">
        <v>0</v>
      </c>
    </row>
    <row r="15" customFormat="false" ht="15" hidden="false" customHeight="true" outlineLevel="0" collapsed="false">
      <c r="A15" s="5" t="s">
        <v>56</v>
      </c>
      <c r="B15" s="15" t="n">
        <v>2</v>
      </c>
    </row>
    <row r="16" customFormat="false" ht="15" hidden="false" customHeight="true" outlineLevel="0" collapsed="false">
      <c r="A16" s="5" t="s">
        <v>57</v>
      </c>
      <c r="B16" s="16" t="n">
        <f aca="false">IFERROR(B13/(B8*B14),0)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3"/>
  </cols>
  <sheetData>
    <row r="1" customFormat="false" ht="25.5" hidden="false" customHeight="true" outlineLevel="0" collapsed="false">
      <c r="A1" s="2" t="s">
        <v>58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59</v>
      </c>
      <c r="B2" s="3"/>
      <c r="C2" s="3"/>
      <c r="D2" s="3"/>
      <c r="E2" s="3"/>
      <c r="F2" s="3"/>
      <c r="G2" s="3"/>
      <c r="H2" s="3"/>
    </row>
    <row r="4" customFormat="false" ht="15.75" hidden="false" customHeight="true" outlineLevel="0" collapsed="false">
      <c r="A4" s="17" t="s">
        <v>60</v>
      </c>
      <c r="B4" s="17"/>
      <c r="C4" s="17" t="s">
        <v>61</v>
      </c>
      <c r="D4" s="17"/>
      <c r="E4" s="17" t="s">
        <v>62</v>
      </c>
      <c r="F4" s="17"/>
      <c r="G4" s="17" t="s">
        <v>63</v>
      </c>
      <c r="H4" s="17"/>
    </row>
    <row r="5" customFormat="false" ht="21.75" hidden="false" customHeight="true" outlineLevel="0" collapsed="false">
      <c r="A5" s="18" t="n">
        <f aca="false">SUM(Sales!$D$5:$D$124)</f>
        <v>0</v>
      </c>
      <c r="B5" s="18"/>
      <c r="C5" s="18" t="n">
        <f aca="false">SUM(Sales!$E$5:$E$124)</f>
        <v>0</v>
      </c>
      <c r="D5" s="18"/>
      <c r="E5" s="18" t="n">
        <f aca="false">SUM(Sales!$F$5:$F$124)</f>
        <v>0</v>
      </c>
      <c r="F5" s="18"/>
      <c r="G5" s="19" t="n">
        <f aca="false">AVERAGE('Menu Pricing'!$O$5:$O$10)</f>
        <v>0</v>
      </c>
      <c r="H5" s="19"/>
    </row>
    <row r="6" customFormat="false" ht="15" hidden="false" customHeight="true" outlineLevel="0" collapsed="false">
      <c r="A6" s="18"/>
      <c r="B6" s="18"/>
      <c r="C6" s="18"/>
      <c r="D6" s="18"/>
      <c r="E6" s="18"/>
      <c r="F6" s="18"/>
      <c r="G6" s="19"/>
      <c r="H6" s="19"/>
    </row>
    <row r="8" customFormat="false" ht="15.75" hidden="false" customHeight="true" outlineLevel="0" collapsed="false">
      <c r="A8" s="17" t="s">
        <v>64</v>
      </c>
      <c r="B8" s="17"/>
      <c r="C8" s="17" t="s">
        <v>65</v>
      </c>
      <c r="D8" s="17"/>
      <c r="E8" s="17" t="s">
        <v>66</v>
      </c>
      <c r="F8" s="17"/>
      <c r="G8" s="17" t="s">
        <v>67</v>
      </c>
      <c r="H8" s="17"/>
    </row>
    <row r="9" customFormat="false" ht="21.75" hidden="false" customHeight="true" outlineLevel="0" collapsed="false">
      <c r="A9" s="19" t="n">
        <f aca="false">AVERAGE('Menu Pricing'!$N$5:$N$10)</f>
        <v>0</v>
      </c>
      <c r="B9" s="19"/>
      <c r="C9" s="20" t="n">
        <f aca="false">IFERROR(SUM(Sales!$F$5:$F$124)/SUM(Sales!$C$5:$C$124),0)</f>
        <v>0</v>
      </c>
      <c r="D9" s="20"/>
      <c r="E9" s="18" t="n">
        <f aca="false">IFERROR(SUM(Sales!$F$5:$F$124)/(Sales!$A$124-Sales!$A$5+1)*'Business Profile'!$B$8,0)</f>
        <v>0</v>
      </c>
      <c r="F9" s="18"/>
      <c r="G9" s="21" t="n">
        <f aca="false">'Restaurant Health Score'!$D$16</f>
        <v>65</v>
      </c>
      <c r="H9" s="21"/>
    </row>
    <row r="10" customFormat="false" ht="15" hidden="false" customHeight="true" outlineLevel="0" collapsed="false">
      <c r="A10" s="19"/>
      <c r="B10" s="19"/>
      <c r="C10" s="20"/>
      <c r="D10" s="20"/>
      <c r="E10" s="18"/>
      <c r="F10" s="18"/>
      <c r="G10" s="21"/>
      <c r="H10" s="21"/>
    </row>
    <row r="14" customFormat="false" ht="15" hidden="false" customHeight="true" outlineLevel="0" collapsed="false">
      <c r="A14" s="22" t="s">
        <v>68</v>
      </c>
      <c r="B14" s="22" t="s">
        <v>69</v>
      </c>
      <c r="C14" s="22" t="s">
        <v>70</v>
      </c>
      <c r="D14" s="22" t="s">
        <v>71</v>
      </c>
    </row>
    <row r="15" customFormat="false" ht="15" hidden="false" customHeight="true" outlineLevel="0" collapsed="false">
      <c r="A15" s="1" t="str">
        <f aca="false">'Menu Pricing'!A5</f>
        <v>Menu Item 1</v>
      </c>
      <c r="B15" s="23" t="n">
        <f aca="false">SUMIFS(Sales!$D$5:$D$124,Sales!$B$5:$B$124,A15)</f>
        <v>0</v>
      </c>
      <c r="C15" s="23" t="n">
        <f aca="false">SUMIFS(Sales!$F$5:$F$124,Sales!$B$5:$B$124,A15)</f>
        <v>0</v>
      </c>
      <c r="D15" s="24" t="n">
        <f aca="false">SUMIFS(Sales!$C$5:$C$124,Sales!$B$5:$B$124,A15)</f>
        <v>0</v>
      </c>
    </row>
    <row r="16" customFormat="false" ht="15" hidden="false" customHeight="true" outlineLevel="0" collapsed="false">
      <c r="A16" s="1" t="str">
        <f aca="false">'Menu Pricing'!A6</f>
        <v>Menu Item 2</v>
      </c>
      <c r="B16" s="23" t="n">
        <f aca="false">SUMIFS(Sales!$D$5:$D$124,Sales!$B$5:$B$124,A16)</f>
        <v>0</v>
      </c>
      <c r="C16" s="23" t="n">
        <f aca="false">SUMIFS(Sales!$F$5:$F$124,Sales!$B$5:$B$124,A16)</f>
        <v>0</v>
      </c>
      <c r="D16" s="24" t="n">
        <f aca="false">SUMIFS(Sales!$C$5:$C$124,Sales!$B$5:$B$124,A16)</f>
        <v>0</v>
      </c>
    </row>
    <row r="17" customFormat="false" ht="15" hidden="false" customHeight="true" outlineLevel="0" collapsed="false">
      <c r="A17" s="1" t="str">
        <f aca="false">'Menu Pricing'!A7</f>
        <v>Menu Item 3</v>
      </c>
      <c r="B17" s="23" t="n">
        <f aca="false">SUMIFS(Sales!$D$5:$D$124,Sales!$B$5:$B$124,A17)</f>
        <v>0</v>
      </c>
      <c r="C17" s="23" t="n">
        <f aca="false">SUMIFS(Sales!$F$5:$F$124,Sales!$B$5:$B$124,A17)</f>
        <v>0</v>
      </c>
      <c r="D17" s="24" t="n">
        <f aca="false">SUMIFS(Sales!$C$5:$C$124,Sales!$B$5:$B$124,A17)</f>
        <v>0</v>
      </c>
    </row>
    <row r="18" customFormat="false" ht="15" hidden="false" customHeight="true" outlineLevel="0" collapsed="false">
      <c r="A18" s="1" t="str">
        <f aca="false">'Menu Pricing'!A8</f>
        <v>Menu Item 4</v>
      </c>
      <c r="B18" s="23" t="n">
        <f aca="false">SUMIFS(Sales!$D$5:$D$124,Sales!$B$5:$B$124,A18)</f>
        <v>0</v>
      </c>
      <c r="C18" s="23" t="n">
        <f aca="false">SUMIFS(Sales!$F$5:$F$124,Sales!$B$5:$B$124,A18)</f>
        <v>0</v>
      </c>
      <c r="D18" s="24" t="n">
        <f aca="false">SUMIFS(Sales!$C$5:$C$124,Sales!$B$5:$B$124,A18)</f>
        <v>0</v>
      </c>
    </row>
    <row r="19" customFormat="false" ht="15" hidden="false" customHeight="true" outlineLevel="0" collapsed="false">
      <c r="A19" s="1" t="str">
        <f aca="false">'Menu Pricing'!A9</f>
        <v>Menu Item 5</v>
      </c>
      <c r="B19" s="23" t="n">
        <f aca="false">SUMIFS(Sales!$D$5:$D$124,Sales!$B$5:$B$124,A19)</f>
        <v>0</v>
      </c>
      <c r="C19" s="23" t="n">
        <f aca="false">SUMIFS(Sales!$F$5:$F$124,Sales!$B$5:$B$124,A19)</f>
        <v>0</v>
      </c>
      <c r="D19" s="24" t="n">
        <f aca="false">SUMIFS(Sales!$C$5:$C$124,Sales!$B$5:$B$124,A19)</f>
        <v>0</v>
      </c>
    </row>
    <row r="20" customFormat="false" ht="15" hidden="false" customHeight="true" outlineLevel="0" collapsed="false">
      <c r="A20" s="1" t="str">
        <f aca="false">'Menu Pricing'!A10</f>
        <v>Menu Item 6</v>
      </c>
      <c r="B20" s="23" t="n">
        <f aca="false">SUMIFS(Sales!$D$5:$D$124,Sales!$B$5:$B$124,A20)</f>
        <v>0</v>
      </c>
      <c r="C20" s="23" t="n">
        <f aca="false">SUMIFS(Sales!$F$5:$F$124,Sales!$B$5:$B$124,A20)</f>
        <v>0</v>
      </c>
      <c r="D20" s="24" t="n">
        <f aca="false">SUMIFS(Sales!$C$5:$C$124,Sales!$B$5:$B$124,A20)</f>
        <v>0</v>
      </c>
    </row>
  </sheetData>
  <mergeCells count="18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B8"/>
    <mergeCell ref="C8:D8"/>
    <mergeCell ref="E8:F8"/>
    <mergeCell ref="G8:H8"/>
    <mergeCell ref="A9:B10"/>
    <mergeCell ref="C9:D10"/>
    <mergeCell ref="E9:F10"/>
    <mergeCell ref="G9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8" min="7" style="1" width="9"/>
    <col collapsed="false" customWidth="true" hidden="false" outlineLevel="0" max="10" min="9" style="1" width="11"/>
    <col collapsed="false" customWidth="true" hidden="false" outlineLevel="0" max="11" min="11" style="1" width="12"/>
    <col collapsed="false" customWidth="true" hidden="false" outlineLevel="0" max="14" min="12" style="1" width="11"/>
    <col collapsed="false" customWidth="true" hidden="false" outlineLevel="0" max="15" min="15" style="1" width="13"/>
    <col collapsed="false" customWidth="true" hidden="false" outlineLevel="0" max="16" min="16" style="1" width="18"/>
  </cols>
  <sheetData>
    <row r="1" customFormat="false" ht="25.5" hidden="false" customHeight="true" outlineLevel="0" collapsed="false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3" t="s">
        <v>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0" hidden="false" customHeight="true" outlineLevel="0" collapsed="false">
      <c r="A4" s="25" t="s">
        <v>74</v>
      </c>
      <c r="B4" s="25" t="s">
        <v>75</v>
      </c>
      <c r="C4" s="25" t="s">
        <v>76</v>
      </c>
      <c r="D4" s="25" t="s">
        <v>77</v>
      </c>
      <c r="E4" s="25" t="s">
        <v>78</v>
      </c>
      <c r="F4" s="25" t="s">
        <v>79</v>
      </c>
      <c r="G4" s="25" t="s">
        <v>80</v>
      </c>
      <c r="H4" s="25" t="s">
        <v>81</v>
      </c>
      <c r="I4" s="25" t="s">
        <v>82</v>
      </c>
      <c r="J4" s="25" t="s">
        <v>83</v>
      </c>
      <c r="K4" s="25" t="s">
        <v>84</v>
      </c>
      <c r="L4" s="25" t="s">
        <v>85</v>
      </c>
      <c r="M4" s="25" t="s">
        <v>86</v>
      </c>
      <c r="N4" s="25" t="s">
        <v>87</v>
      </c>
      <c r="O4" s="25" t="s">
        <v>88</v>
      </c>
      <c r="P4" s="25" t="s">
        <v>89</v>
      </c>
    </row>
    <row r="5" customFormat="false" ht="15" hidden="false" customHeight="true" outlineLevel="0" collapsed="false">
      <c r="A5" s="26" t="s">
        <v>90</v>
      </c>
      <c r="B5" s="26"/>
      <c r="C5" s="26"/>
      <c r="D5" s="26"/>
      <c r="E5" s="26" t="n">
        <v>1</v>
      </c>
      <c r="F5" s="27" t="n">
        <v>0</v>
      </c>
      <c r="G5" s="28" t="n">
        <v>0</v>
      </c>
      <c r="H5" s="28" t="n">
        <v>1</v>
      </c>
      <c r="I5" s="26" t="n">
        <v>0</v>
      </c>
      <c r="J5" s="26" t="n">
        <v>0</v>
      </c>
      <c r="K5" s="29" t="n">
        <f aca="false">IFERROR(F5/E5/H5,0)</f>
        <v>0</v>
      </c>
      <c r="L5" s="29" t="str">
        <f aca="false">IF(D5="kg",K5/1000,IF(D5="g",K5,""))</f>
        <v/>
      </c>
      <c r="M5" s="29" t="str">
        <f aca="false">IF(D5="piece",K5,"")</f>
        <v/>
      </c>
      <c r="N5" s="29" t="str">
        <f aca="false">IF(D5="l",K5,"")</f>
        <v/>
      </c>
      <c r="O5" s="30" t="n">
        <v>46227</v>
      </c>
      <c r="P5" s="26"/>
    </row>
    <row r="6" customFormat="false" ht="15" hidden="false" customHeight="true" outlineLevel="0" collapsed="false">
      <c r="A6" s="26" t="s">
        <v>91</v>
      </c>
      <c r="B6" s="26"/>
      <c r="C6" s="26"/>
      <c r="D6" s="26"/>
      <c r="E6" s="26" t="n">
        <v>1</v>
      </c>
      <c r="F6" s="27" t="n">
        <v>0</v>
      </c>
      <c r="G6" s="28" t="n">
        <v>0</v>
      </c>
      <c r="H6" s="28" t="n">
        <v>1</v>
      </c>
      <c r="I6" s="26" t="n">
        <v>0</v>
      </c>
      <c r="J6" s="26" t="n">
        <v>0</v>
      </c>
      <c r="K6" s="29" t="n">
        <f aca="false">IFERROR(F6/E6/H6,0)</f>
        <v>0</v>
      </c>
      <c r="L6" s="29" t="str">
        <f aca="false">IF(D6="kg",K6/1000,IF(D6="g",K6,""))</f>
        <v/>
      </c>
      <c r="M6" s="29" t="str">
        <f aca="false">IF(D6="piece",K6,"")</f>
        <v/>
      </c>
      <c r="N6" s="29" t="str">
        <f aca="false">IF(D6="l",K6,"")</f>
        <v/>
      </c>
      <c r="O6" s="30" t="n">
        <v>46226</v>
      </c>
      <c r="P6" s="26"/>
    </row>
    <row r="7" customFormat="false" ht="15" hidden="false" customHeight="true" outlineLevel="0" collapsed="false">
      <c r="A7" s="26" t="s">
        <v>92</v>
      </c>
      <c r="B7" s="26"/>
      <c r="C7" s="26"/>
      <c r="D7" s="26"/>
      <c r="E7" s="26" t="n">
        <v>1</v>
      </c>
      <c r="F7" s="27" t="n">
        <v>0</v>
      </c>
      <c r="G7" s="28" t="n">
        <v>0</v>
      </c>
      <c r="H7" s="28" t="n">
        <v>1</v>
      </c>
      <c r="I7" s="26" t="n">
        <v>0</v>
      </c>
      <c r="J7" s="26" t="n">
        <v>0</v>
      </c>
      <c r="K7" s="29" t="n">
        <f aca="false">IFERROR(F7/E7/H7,0)</f>
        <v>0</v>
      </c>
      <c r="L7" s="29" t="str">
        <f aca="false">IF(D7="kg",K7/1000,IF(D7="g",K7,""))</f>
        <v/>
      </c>
      <c r="M7" s="29" t="str">
        <f aca="false">IF(D7="piece",K7,"")</f>
        <v/>
      </c>
      <c r="N7" s="29" t="str">
        <f aca="false">IF(D7="l",K7,"")</f>
        <v/>
      </c>
      <c r="O7" s="30" t="n">
        <v>46225</v>
      </c>
      <c r="P7" s="26"/>
    </row>
    <row r="8" customFormat="false" ht="15" hidden="false" customHeight="true" outlineLevel="0" collapsed="false">
      <c r="A8" s="26" t="s">
        <v>93</v>
      </c>
      <c r="B8" s="26"/>
      <c r="C8" s="26"/>
      <c r="D8" s="26"/>
      <c r="E8" s="26" t="n">
        <v>1</v>
      </c>
      <c r="F8" s="27" t="n">
        <v>0</v>
      </c>
      <c r="G8" s="28" t="n">
        <v>0</v>
      </c>
      <c r="H8" s="28" t="n">
        <v>1</v>
      </c>
      <c r="I8" s="26" t="n">
        <v>0</v>
      </c>
      <c r="J8" s="26" t="n">
        <v>0</v>
      </c>
      <c r="K8" s="29" t="n">
        <f aca="false">IFERROR(F8/E8/H8,0)</f>
        <v>0</v>
      </c>
      <c r="L8" s="29" t="str">
        <f aca="false">IF(D8="kg",K8/1000,IF(D8="g",K8,""))</f>
        <v/>
      </c>
      <c r="M8" s="29" t="str">
        <f aca="false">IF(D8="piece",K8,"")</f>
        <v/>
      </c>
      <c r="N8" s="29" t="str">
        <f aca="false">IF(D8="l",K8,"")</f>
        <v/>
      </c>
      <c r="O8" s="30" t="n">
        <v>46224</v>
      </c>
      <c r="P8" s="26"/>
    </row>
    <row r="9" customFormat="false" ht="15" hidden="false" customHeight="true" outlineLevel="0" collapsed="false">
      <c r="A9" s="26" t="s">
        <v>94</v>
      </c>
      <c r="B9" s="26"/>
      <c r="C9" s="26"/>
      <c r="D9" s="26"/>
      <c r="E9" s="26" t="n">
        <v>1</v>
      </c>
      <c r="F9" s="27" t="n">
        <v>0</v>
      </c>
      <c r="G9" s="28" t="n">
        <v>0</v>
      </c>
      <c r="H9" s="28" t="n">
        <v>1</v>
      </c>
      <c r="I9" s="26" t="n">
        <v>0</v>
      </c>
      <c r="J9" s="26" t="n">
        <v>0</v>
      </c>
      <c r="K9" s="29" t="n">
        <f aca="false">IFERROR(F9/E9/H9,0)</f>
        <v>0</v>
      </c>
      <c r="L9" s="29" t="str">
        <f aca="false">IF(D9="kg",K9/1000,IF(D9="g",K9,""))</f>
        <v/>
      </c>
      <c r="M9" s="29" t="str">
        <f aca="false">IF(D9="piece",K9,"")</f>
        <v/>
      </c>
      <c r="N9" s="29" t="str">
        <f aca="false">IF(D9="l",K9,"")</f>
        <v/>
      </c>
      <c r="O9" s="30" t="n">
        <v>46223</v>
      </c>
      <c r="P9" s="26"/>
    </row>
    <row r="10" customFormat="false" ht="15" hidden="false" customHeight="true" outlineLevel="0" collapsed="false">
      <c r="A10" s="26" t="s">
        <v>95</v>
      </c>
      <c r="B10" s="26"/>
      <c r="C10" s="26"/>
      <c r="D10" s="26"/>
      <c r="E10" s="26" t="n">
        <v>1</v>
      </c>
      <c r="F10" s="27" t="n">
        <v>0</v>
      </c>
      <c r="G10" s="28" t="n">
        <v>0</v>
      </c>
      <c r="H10" s="28" t="n">
        <v>1</v>
      </c>
      <c r="I10" s="26" t="n">
        <v>0</v>
      </c>
      <c r="J10" s="26" t="n">
        <v>0</v>
      </c>
      <c r="K10" s="29" t="n">
        <f aca="false">IFERROR(F10/E10/H10,0)</f>
        <v>0</v>
      </c>
      <c r="L10" s="29" t="str">
        <f aca="false">IF(D10="kg",K10/1000,IF(D10="g",K10,""))</f>
        <v/>
      </c>
      <c r="M10" s="29" t="str">
        <f aca="false">IF(D10="piece",K10,"")</f>
        <v/>
      </c>
      <c r="N10" s="29" t="str">
        <f aca="false">IF(D10="l",K10,"")</f>
        <v/>
      </c>
      <c r="O10" s="30" t="n">
        <v>46222</v>
      </c>
      <c r="P10" s="26"/>
    </row>
    <row r="11" customFormat="false" ht="15" hidden="false" customHeight="true" outlineLevel="0" collapsed="false">
      <c r="A11" s="26" t="s">
        <v>96</v>
      </c>
      <c r="B11" s="26"/>
      <c r="C11" s="26"/>
      <c r="D11" s="26"/>
      <c r="E11" s="26" t="n">
        <v>1</v>
      </c>
      <c r="F11" s="27" t="n">
        <v>0</v>
      </c>
      <c r="G11" s="28" t="n">
        <v>0</v>
      </c>
      <c r="H11" s="28" t="n">
        <v>1</v>
      </c>
      <c r="I11" s="26" t="n">
        <v>0</v>
      </c>
      <c r="J11" s="26" t="n">
        <v>0</v>
      </c>
      <c r="K11" s="29" t="n">
        <f aca="false">IFERROR(F11/E11/H11,0)</f>
        <v>0</v>
      </c>
      <c r="L11" s="29" t="str">
        <f aca="false">IF(D11="kg",K11/1000,IF(D11="g",K11,""))</f>
        <v/>
      </c>
      <c r="M11" s="29" t="str">
        <f aca="false">IF(D11="piece",K11,"")</f>
        <v/>
      </c>
      <c r="N11" s="29" t="str">
        <f aca="false">IF(D11="l",K11,"")</f>
        <v/>
      </c>
      <c r="O11" s="30" t="n">
        <v>46221</v>
      </c>
      <c r="P11" s="26"/>
    </row>
    <row r="12" customFormat="false" ht="15" hidden="false" customHeight="true" outlineLevel="0" collapsed="false">
      <c r="A12" s="26" t="s">
        <v>97</v>
      </c>
      <c r="B12" s="26"/>
      <c r="C12" s="26"/>
      <c r="D12" s="26"/>
      <c r="E12" s="26" t="n">
        <v>1</v>
      </c>
      <c r="F12" s="27" t="n">
        <v>0</v>
      </c>
      <c r="G12" s="28" t="n">
        <v>0</v>
      </c>
      <c r="H12" s="28" t="n">
        <v>1</v>
      </c>
      <c r="I12" s="26" t="n">
        <v>0</v>
      </c>
      <c r="J12" s="26" t="n">
        <v>0</v>
      </c>
      <c r="K12" s="29" t="n">
        <f aca="false">IFERROR(F12/E12/H12,0)</f>
        <v>0</v>
      </c>
      <c r="L12" s="29" t="str">
        <f aca="false">IF(D12="kg",K12/1000,IF(D12="g",K12,""))</f>
        <v/>
      </c>
      <c r="M12" s="29" t="str">
        <f aca="false">IF(D12="piece",K12,"")</f>
        <v/>
      </c>
      <c r="N12" s="29" t="str">
        <f aca="false">IF(D12="l",K12,"")</f>
        <v/>
      </c>
      <c r="O12" s="30" t="n">
        <v>46220</v>
      </c>
      <c r="P12" s="26"/>
    </row>
    <row r="13" customFormat="false" ht="15" hidden="false" customHeight="true" outlineLevel="0" collapsed="false">
      <c r="A13" s="26" t="s">
        <v>98</v>
      </c>
      <c r="B13" s="26"/>
      <c r="C13" s="26"/>
      <c r="D13" s="26"/>
      <c r="E13" s="26" t="n">
        <v>1</v>
      </c>
      <c r="F13" s="27" t="n">
        <v>0</v>
      </c>
      <c r="G13" s="28" t="n">
        <v>0</v>
      </c>
      <c r="H13" s="28" t="n">
        <v>1</v>
      </c>
      <c r="I13" s="26" t="n">
        <v>0</v>
      </c>
      <c r="J13" s="26" t="n">
        <v>0</v>
      </c>
      <c r="K13" s="29" t="n">
        <f aca="false">IFERROR(F13/E13/H13,0)</f>
        <v>0</v>
      </c>
      <c r="L13" s="29" t="str">
        <f aca="false">IF(D13="kg",K13/1000,IF(D13="g",K13,""))</f>
        <v/>
      </c>
      <c r="M13" s="29" t="str">
        <f aca="false">IF(D13="piece",K13,"")</f>
        <v/>
      </c>
      <c r="N13" s="29" t="str">
        <f aca="false">IF(D13="l",K13,"")</f>
        <v/>
      </c>
      <c r="O13" s="30" t="n">
        <v>46219</v>
      </c>
      <c r="P13" s="26"/>
    </row>
    <row r="14" customFormat="false" ht="15" hidden="false" customHeight="true" outlineLevel="0" collapsed="false">
      <c r="A14" s="26" t="s">
        <v>99</v>
      </c>
      <c r="B14" s="26"/>
      <c r="C14" s="26"/>
      <c r="D14" s="26"/>
      <c r="E14" s="26" t="n">
        <v>1</v>
      </c>
      <c r="F14" s="27" t="n">
        <v>0</v>
      </c>
      <c r="G14" s="28" t="n">
        <v>0</v>
      </c>
      <c r="H14" s="28" t="n">
        <v>1</v>
      </c>
      <c r="I14" s="26" t="n">
        <v>0</v>
      </c>
      <c r="J14" s="26" t="n">
        <v>0</v>
      </c>
      <c r="K14" s="29" t="n">
        <f aca="false">IFERROR(F14/E14/H14,0)</f>
        <v>0</v>
      </c>
      <c r="L14" s="29" t="str">
        <f aca="false">IF(D14="kg",K14/1000,IF(D14="g",K14,""))</f>
        <v/>
      </c>
      <c r="M14" s="29" t="str">
        <f aca="false">IF(D14="piece",K14,"")</f>
        <v/>
      </c>
      <c r="N14" s="29" t="str">
        <f aca="false">IF(D14="l",K14,"")</f>
        <v/>
      </c>
      <c r="O14" s="30" t="n">
        <v>46218</v>
      </c>
      <c r="P14" s="26"/>
    </row>
    <row r="15" customFormat="false" ht="15" hidden="false" customHeight="true" outlineLevel="0" collapsed="false">
      <c r="A15" s="26" t="s">
        <v>100</v>
      </c>
      <c r="B15" s="26"/>
      <c r="C15" s="26"/>
      <c r="D15" s="26"/>
      <c r="E15" s="26" t="n">
        <v>1</v>
      </c>
      <c r="F15" s="27" t="n">
        <v>0</v>
      </c>
      <c r="G15" s="28" t="n">
        <v>0</v>
      </c>
      <c r="H15" s="28" t="n">
        <v>1</v>
      </c>
      <c r="I15" s="26" t="n">
        <v>0</v>
      </c>
      <c r="J15" s="26" t="n">
        <v>0</v>
      </c>
      <c r="K15" s="29" t="n">
        <f aca="false">IFERROR(F15/E15/H15,0)</f>
        <v>0</v>
      </c>
      <c r="L15" s="29" t="str">
        <f aca="false">IF(D15="kg",K15/1000,IF(D15="g",K15,""))</f>
        <v/>
      </c>
      <c r="M15" s="29" t="str">
        <f aca="false">IF(D15="piece",K15,"")</f>
        <v/>
      </c>
      <c r="N15" s="29" t="str">
        <f aca="false">IF(D15="l",K15,"")</f>
        <v/>
      </c>
      <c r="O15" s="30" t="n">
        <v>46217</v>
      </c>
      <c r="P15" s="26"/>
    </row>
    <row r="16" customFormat="false" ht="15" hidden="false" customHeight="true" outlineLevel="0" collapsed="false">
      <c r="A16" s="26" t="s">
        <v>101</v>
      </c>
      <c r="B16" s="26"/>
      <c r="C16" s="26"/>
      <c r="D16" s="26"/>
      <c r="E16" s="26" t="n">
        <v>1</v>
      </c>
      <c r="F16" s="27" t="n">
        <v>0</v>
      </c>
      <c r="G16" s="28" t="n">
        <v>0</v>
      </c>
      <c r="H16" s="28" t="n">
        <v>1</v>
      </c>
      <c r="I16" s="26" t="n">
        <v>0</v>
      </c>
      <c r="J16" s="26" t="n">
        <v>0</v>
      </c>
      <c r="K16" s="29" t="n">
        <f aca="false">IFERROR(F16/E16/H16,0)</f>
        <v>0</v>
      </c>
      <c r="L16" s="29" t="str">
        <f aca="false">IF(D16="kg",K16/1000,IF(D16="g",K16,""))</f>
        <v/>
      </c>
      <c r="M16" s="29" t="str">
        <f aca="false">IF(D16="piece",K16,"")</f>
        <v/>
      </c>
      <c r="N16" s="29" t="str">
        <f aca="false">IF(D16="l",K16,"")</f>
        <v/>
      </c>
      <c r="O16" s="30" t="n">
        <v>46216</v>
      </c>
      <c r="P16" s="26"/>
    </row>
  </sheetData>
  <mergeCells count="2">
    <mergeCell ref="A1:P1"/>
    <mergeCell ref="A2:P2"/>
  </mergeCells>
  <conditionalFormatting sqref="I5:I16">
    <cfRule type="expression" priority="2" aboveAverage="0" equalAverage="0" bottom="0" percent="0" rank="0" text="" dxfId="0">
      <formula>I5&lt;J5</formula>
    </cfRule>
  </conditionalFormatting>
  <dataValidations count="2">
    <dataValidation allowBlank="false" errorStyle="stop" operator="between" showDropDown="false" showErrorMessage="false" showInputMessage="false" sqref="D5:D200" type="list">
      <formula1>"kg,g,l,piece"</formula1>
      <formula2>0</formula2>
    </dataValidation>
    <dataValidation allowBlank="true" errorStyle="stop" operator="between" showDropDown="false" showErrorMessage="false" showInputMessage="false" sqref="B5:B200" type="list">
      <formula1>"Dry Goods,Dairy,Produce,Meat,Bakery,Beverage,Other"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25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102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25" t="s">
        <v>103</v>
      </c>
      <c r="B4" s="25" t="s">
        <v>75</v>
      </c>
      <c r="C4" s="25" t="s">
        <v>74</v>
      </c>
      <c r="D4" s="25" t="s">
        <v>104</v>
      </c>
      <c r="E4" s="25" t="s">
        <v>105</v>
      </c>
      <c r="F4" s="25" t="s">
        <v>106</v>
      </c>
      <c r="G4" s="25" t="s">
        <v>107</v>
      </c>
      <c r="H4" s="25" t="s">
        <v>108</v>
      </c>
    </row>
    <row r="5" customFormat="false" ht="15" hidden="false" customHeight="true" outlineLevel="0" collapsed="false">
      <c r="A5" s="26" t="s">
        <v>109</v>
      </c>
      <c r="B5" s="26"/>
      <c r="C5" s="26"/>
      <c r="D5" s="26" t="n">
        <v>0</v>
      </c>
      <c r="E5" s="26"/>
      <c r="F5" s="31" t="n">
        <f aca="false">IFERROR($D5*IF($E5="g",INDEX('Ingredients Database'!$L$5:$L$16,MATCH($C5,'Ingredients Database'!$A$5:$A$16,0)),IF($E5="piece",INDEX('Ingredients Database'!$M$5:$M$16,MATCH($C5,'Ingredients Database'!$A$5:$A$16,0)),IF($E5="l",INDEX('Ingredients Database'!$N$5:$N$16,MATCH($C5,'Ingredients Database'!$A$5:$A$16,0)),0))),0)</f>
        <v>0</v>
      </c>
      <c r="G5" s="32" t="str">
        <f aca="false">IF($E5="g",$D5,"")</f>
        <v/>
      </c>
      <c r="H5" s="26"/>
    </row>
    <row r="6" customFormat="false" ht="15" hidden="false" customHeight="true" outlineLevel="0" collapsed="false">
      <c r="A6" s="26" t="s">
        <v>109</v>
      </c>
      <c r="B6" s="26"/>
      <c r="C6" s="26"/>
      <c r="D6" s="26" t="n">
        <v>0</v>
      </c>
      <c r="E6" s="26"/>
      <c r="F6" s="31" t="n">
        <f aca="false">IFERROR($D6*IF($E6="g",INDEX('Ingredients Database'!$L$5:$L$16,MATCH($C6,'Ingredients Database'!$A$5:$A$16,0)),IF($E6="piece",INDEX('Ingredients Database'!$M$5:$M$16,MATCH($C6,'Ingredients Database'!$A$5:$A$16,0)),IF($E6="l",INDEX('Ingredients Database'!$N$5:$N$16,MATCH($C6,'Ingredients Database'!$A$5:$A$16,0)),0))),0)</f>
        <v>0</v>
      </c>
      <c r="G6" s="32" t="str">
        <f aca="false">IF($E6="g",$D6,"")</f>
        <v/>
      </c>
      <c r="H6" s="26"/>
    </row>
    <row r="7" customFormat="false" ht="15" hidden="false" customHeight="true" outlineLevel="0" collapsed="false">
      <c r="A7" s="26" t="s">
        <v>109</v>
      </c>
      <c r="B7" s="26"/>
      <c r="C7" s="26"/>
      <c r="D7" s="26" t="n">
        <v>0</v>
      </c>
      <c r="E7" s="26"/>
      <c r="F7" s="31" t="n">
        <f aca="false">IFERROR($D7*IF($E7="g",INDEX('Ingredients Database'!$L$5:$L$16,MATCH($C7,'Ingredients Database'!$A$5:$A$16,0)),IF($E7="piece",INDEX('Ingredients Database'!$M$5:$M$16,MATCH($C7,'Ingredients Database'!$A$5:$A$16,0)),IF($E7="l",INDEX('Ingredients Database'!$N$5:$N$16,MATCH($C7,'Ingredients Database'!$A$5:$A$16,0)),0))),0)</f>
        <v>0</v>
      </c>
      <c r="G7" s="32" t="str">
        <f aca="false">IF($E7="g",$D7,"")</f>
        <v/>
      </c>
      <c r="H7" s="26"/>
    </row>
    <row r="8" customFormat="false" ht="15" hidden="false" customHeight="true" outlineLevel="0" collapsed="false">
      <c r="A8" s="26" t="s">
        <v>109</v>
      </c>
      <c r="B8" s="26"/>
      <c r="C8" s="26"/>
      <c r="D8" s="26" t="n">
        <v>0</v>
      </c>
      <c r="E8" s="26"/>
      <c r="F8" s="31" t="n">
        <f aca="false">IFERROR($D8*IF($E8="g",INDEX('Ingredients Database'!$L$5:$L$16,MATCH($C8,'Ingredients Database'!$A$5:$A$16,0)),IF($E8="piece",INDEX('Ingredients Database'!$M$5:$M$16,MATCH($C8,'Ingredients Database'!$A$5:$A$16,0)),IF($E8="l",INDEX('Ingredients Database'!$N$5:$N$16,MATCH($C8,'Ingredients Database'!$A$5:$A$16,0)),0))),0)</f>
        <v>0</v>
      </c>
      <c r="G8" s="32" t="str">
        <f aca="false">IF($E8="g",$D8,"")</f>
        <v/>
      </c>
      <c r="H8" s="26"/>
    </row>
    <row r="9" customFormat="false" ht="15" hidden="false" customHeight="true" outlineLevel="0" collapsed="false">
      <c r="A9" s="26" t="s">
        <v>109</v>
      </c>
      <c r="B9" s="26"/>
      <c r="C9" s="26"/>
      <c r="D9" s="26" t="n">
        <v>0</v>
      </c>
      <c r="E9" s="26"/>
      <c r="F9" s="31" t="n">
        <f aca="false">IFERROR($D9*IF($E9="g",INDEX('Ingredients Database'!$L$5:$L$16,MATCH($C9,'Ingredients Database'!$A$5:$A$16,0)),IF($E9="piece",INDEX('Ingredients Database'!$M$5:$M$16,MATCH($C9,'Ingredients Database'!$A$5:$A$16,0)),IF($E9="l",INDEX('Ingredients Database'!$N$5:$N$16,MATCH($C9,'Ingredients Database'!$A$5:$A$16,0)),0))),0)</f>
        <v>0</v>
      </c>
      <c r="G9" s="32" t="str">
        <f aca="false">IF($E9="g",$D9,"")</f>
        <v/>
      </c>
      <c r="H9" s="26"/>
    </row>
    <row r="10" customFormat="false" ht="15" hidden="false" customHeight="true" outlineLevel="0" collapsed="false">
      <c r="A10" s="26" t="s">
        <v>110</v>
      </c>
      <c r="B10" s="26"/>
      <c r="C10" s="26"/>
      <c r="D10" s="26" t="n">
        <v>0</v>
      </c>
      <c r="E10" s="26"/>
      <c r="F10" s="31" t="n">
        <f aca="false">IFERROR($D10*IF($E10="g",INDEX('Ingredients Database'!$L$5:$L$16,MATCH($C10,'Ingredients Database'!$A$5:$A$16,0)),IF($E10="piece",INDEX('Ingredients Database'!$M$5:$M$16,MATCH($C10,'Ingredients Database'!$A$5:$A$16,0)),IF($E10="l",INDEX('Ingredients Database'!$N$5:$N$16,MATCH($C10,'Ingredients Database'!$A$5:$A$16,0)),0))),0)</f>
        <v>0</v>
      </c>
      <c r="G10" s="32" t="str">
        <f aca="false">IF($E10="g",$D10,"")</f>
        <v/>
      </c>
      <c r="H10" s="26"/>
    </row>
    <row r="11" customFormat="false" ht="15" hidden="false" customHeight="true" outlineLevel="0" collapsed="false">
      <c r="A11" s="26" t="s">
        <v>110</v>
      </c>
      <c r="B11" s="26"/>
      <c r="C11" s="26"/>
      <c r="D11" s="26" t="n">
        <v>0</v>
      </c>
      <c r="E11" s="26"/>
      <c r="F11" s="31" t="n">
        <f aca="false">IFERROR($D11*IF($E11="g",INDEX('Ingredients Database'!$L$5:$L$16,MATCH($C11,'Ingredients Database'!$A$5:$A$16,0)),IF($E11="piece",INDEX('Ingredients Database'!$M$5:$M$16,MATCH($C11,'Ingredients Database'!$A$5:$A$16,0)),IF($E11="l",INDEX('Ingredients Database'!$N$5:$N$16,MATCH($C11,'Ingredients Database'!$A$5:$A$16,0)),0))),0)</f>
        <v>0</v>
      </c>
      <c r="G11" s="32" t="str">
        <f aca="false">IF($E11="g",$D11,"")</f>
        <v/>
      </c>
      <c r="H11" s="26"/>
    </row>
    <row r="12" customFormat="false" ht="15" hidden="false" customHeight="true" outlineLevel="0" collapsed="false">
      <c r="A12" s="26" t="s">
        <v>110</v>
      </c>
      <c r="B12" s="26"/>
      <c r="C12" s="26"/>
      <c r="D12" s="26" t="n">
        <v>0</v>
      </c>
      <c r="E12" s="26"/>
      <c r="F12" s="31" t="n">
        <f aca="false">IFERROR($D12*IF($E12="g",INDEX('Ingredients Database'!$L$5:$L$16,MATCH($C12,'Ingredients Database'!$A$5:$A$16,0)),IF($E12="piece",INDEX('Ingredients Database'!$M$5:$M$16,MATCH($C12,'Ingredients Database'!$A$5:$A$16,0)),IF($E12="l",INDEX('Ingredients Database'!$N$5:$N$16,MATCH($C12,'Ingredients Database'!$A$5:$A$16,0)),0))),0)</f>
        <v>0</v>
      </c>
      <c r="G12" s="32" t="str">
        <f aca="false">IF($E12="g",$D12,"")</f>
        <v/>
      </c>
      <c r="H12" s="26"/>
    </row>
    <row r="13" customFormat="false" ht="15" hidden="false" customHeight="true" outlineLevel="0" collapsed="false">
      <c r="A13" s="26" t="s">
        <v>110</v>
      </c>
      <c r="B13" s="26"/>
      <c r="C13" s="26"/>
      <c r="D13" s="26" t="n">
        <v>0</v>
      </c>
      <c r="E13" s="26"/>
      <c r="F13" s="31" t="n">
        <f aca="false">IFERROR($D13*IF($E13="g",INDEX('Ingredients Database'!$L$5:$L$16,MATCH($C13,'Ingredients Database'!$A$5:$A$16,0)),IF($E13="piece",INDEX('Ingredients Database'!$M$5:$M$16,MATCH($C13,'Ingredients Database'!$A$5:$A$16,0)),IF($E13="l",INDEX('Ingredients Database'!$N$5:$N$16,MATCH($C13,'Ingredients Database'!$A$5:$A$16,0)),0))),0)</f>
        <v>0</v>
      </c>
      <c r="G13" s="32" t="str">
        <f aca="false">IF($E13="g",$D13,"")</f>
        <v/>
      </c>
      <c r="H13" s="26"/>
    </row>
    <row r="14" customFormat="false" ht="15" hidden="false" customHeight="true" outlineLevel="0" collapsed="false">
      <c r="A14" s="26" t="s">
        <v>111</v>
      </c>
      <c r="B14" s="26"/>
      <c r="C14" s="26"/>
      <c r="D14" s="26" t="n">
        <v>0</v>
      </c>
      <c r="E14" s="26"/>
      <c r="F14" s="31" t="n">
        <f aca="false">IFERROR($D14*IF($E14="g",INDEX('Ingredients Database'!$L$5:$L$16,MATCH($C14,'Ingredients Database'!$A$5:$A$16,0)),IF($E14="piece",INDEX('Ingredients Database'!$M$5:$M$16,MATCH($C14,'Ingredients Database'!$A$5:$A$16,0)),IF($E14="l",INDEX('Ingredients Database'!$N$5:$N$16,MATCH($C14,'Ingredients Database'!$A$5:$A$16,0)),0))),0)</f>
        <v>0</v>
      </c>
      <c r="G14" s="32" t="str">
        <f aca="false">IF($E14="g",$D14,"")</f>
        <v/>
      </c>
      <c r="H14" s="26"/>
    </row>
    <row r="15" customFormat="false" ht="15" hidden="false" customHeight="true" outlineLevel="0" collapsed="false">
      <c r="A15" s="26" t="s">
        <v>111</v>
      </c>
      <c r="B15" s="26"/>
      <c r="C15" s="26"/>
      <c r="D15" s="26" t="n">
        <v>0</v>
      </c>
      <c r="E15" s="26"/>
      <c r="F15" s="31" t="n">
        <f aca="false">IFERROR($D15*IF($E15="g",INDEX('Ingredients Database'!$L$5:$L$16,MATCH($C15,'Ingredients Database'!$A$5:$A$16,0)),IF($E15="piece",INDEX('Ingredients Database'!$M$5:$M$16,MATCH($C15,'Ingredients Database'!$A$5:$A$16,0)),IF($E15="l",INDEX('Ingredients Database'!$N$5:$N$16,MATCH($C15,'Ingredients Database'!$A$5:$A$16,0)),0))),0)</f>
        <v>0</v>
      </c>
      <c r="G15" s="32" t="str">
        <f aca="false">IF($E15="g",$D15,"")</f>
        <v/>
      </c>
      <c r="H15" s="26"/>
    </row>
    <row r="16" customFormat="false" ht="15" hidden="false" customHeight="true" outlineLevel="0" collapsed="false">
      <c r="A16" s="26" t="s">
        <v>111</v>
      </c>
      <c r="B16" s="26"/>
      <c r="C16" s="26"/>
      <c r="D16" s="26" t="n">
        <v>0</v>
      </c>
      <c r="E16" s="26"/>
      <c r="F16" s="31" t="n">
        <f aca="false">IFERROR($D16*IF($E16="g",INDEX('Ingredients Database'!$L$5:$L$16,MATCH($C16,'Ingredients Database'!$A$5:$A$16,0)),IF($E16="piece",INDEX('Ingredients Database'!$M$5:$M$16,MATCH($C16,'Ingredients Database'!$A$5:$A$16,0)),IF($E16="l",INDEX('Ingredients Database'!$N$5:$N$16,MATCH($C16,'Ingredients Database'!$A$5:$A$16,0)),0))),0)</f>
        <v>0</v>
      </c>
      <c r="G16" s="32" t="str">
        <f aca="false">IF($E16="g",$D16,"")</f>
        <v/>
      </c>
      <c r="H16" s="26"/>
    </row>
    <row r="17" customFormat="false" ht="15" hidden="false" customHeight="true" outlineLevel="0" collapsed="false">
      <c r="A17" s="26" t="s">
        <v>111</v>
      </c>
      <c r="B17" s="26"/>
      <c r="C17" s="26"/>
      <c r="D17" s="26" t="n">
        <v>0</v>
      </c>
      <c r="E17" s="26"/>
      <c r="F17" s="31" t="n">
        <f aca="false">IFERROR($D17*IF($E17="g",INDEX('Ingredients Database'!$L$5:$L$16,MATCH($C17,'Ingredients Database'!$A$5:$A$16,0)),IF($E17="piece",INDEX('Ingredients Database'!$M$5:$M$16,MATCH($C17,'Ingredients Database'!$A$5:$A$16,0)),IF($E17="l",INDEX('Ingredients Database'!$N$5:$N$16,MATCH($C17,'Ingredients Database'!$A$5:$A$16,0)),0))),0)</f>
        <v>0</v>
      </c>
      <c r="G17" s="32" t="str">
        <f aca="false">IF($E17="g",$D17,"")</f>
        <v/>
      </c>
      <c r="H17" s="26"/>
    </row>
    <row r="18" customFormat="false" ht="15" hidden="false" customHeight="true" outlineLevel="0" collapsed="false">
      <c r="A18" s="26" t="s">
        <v>112</v>
      </c>
      <c r="B18" s="26"/>
      <c r="C18" s="26"/>
      <c r="D18" s="26" t="n">
        <v>0</v>
      </c>
      <c r="E18" s="26"/>
      <c r="F18" s="31" t="n">
        <f aca="false">IFERROR($D18*IF($E18="g",INDEX('Ingredients Database'!$L$5:$L$16,MATCH($C18,'Ingredients Database'!$A$5:$A$16,0)),IF($E18="piece",INDEX('Ingredients Database'!$M$5:$M$16,MATCH($C18,'Ingredients Database'!$A$5:$A$16,0)),IF($E18="l",INDEX('Ingredients Database'!$N$5:$N$16,MATCH($C18,'Ingredients Database'!$A$5:$A$16,0)),0))),0)</f>
        <v>0</v>
      </c>
      <c r="G18" s="32" t="str">
        <f aca="false">IF($E18="g",$D18,"")</f>
        <v/>
      </c>
      <c r="H18" s="26"/>
    </row>
    <row r="19" customFormat="false" ht="15" hidden="false" customHeight="true" outlineLevel="0" collapsed="false">
      <c r="A19" s="26" t="s">
        <v>112</v>
      </c>
      <c r="B19" s="26"/>
      <c r="C19" s="26"/>
      <c r="D19" s="26" t="n">
        <v>0</v>
      </c>
      <c r="E19" s="26"/>
      <c r="F19" s="31" t="n">
        <f aca="false">IFERROR($D19*IF($E19="g",INDEX('Ingredients Database'!$L$5:$L$16,MATCH($C19,'Ingredients Database'!$A$5:$A$16,0)),IF($E19="piece",INDEX('Ingredients Database'!$M$5:$M$16,MATCH($C19,'Ingredients Database'!$A$5:$A$16,0)),IF($E19="l",INDEX('Ingredients Database'!$N$5:$N$16,MATCH($C19,'Ingredients Database'!$A$5:$A$16,0)),0))),0)</f>
        <v>0</v>
      </c>
      <c r="G19" s="32" t="str">
        <f aca="false">IF($E19="g",$D19,"")</f>
        <v/>
      </c>
      <c r="H19" s="26"/>
    </row>
    <row r="20" customFormat="false" ht="15" hidden="false" customHeight="true" outlineLevel="0" collapsed="false">
      <c r="A20" s="26" t="s">
        <v>112</v>
      </c>
      <c r="B20" s="26"/>
      <c r="C20" s="26"/>
      <c r="D20" s="26" t="n">
        <v>0</v>
      </c>
      <c r="E20" s="26"/>
      <c r="F20" s="31" t="n">
        <f aca="false">IFERROR($D20*IF($E20="g",INDEX('Ingredients Database'!$L$5:$L$16,MATCH($C20,'Ingredients Database'!$A$5:$A$16,0)),IF($E20="piece",INDEX('Ingredients Database'!$M$5:$M$16,MATCH($C20,'Ingredients Database'!$A$5:$A$16,0)),IF($E20="l",INDEX('Ingredients Database'!$N$5:$N$16,MATCH($C20,'Ingredients Database'!$A$5:$A$16,0)),0))),0)</f>
        <v>0</v>
      </c>
      <c r="G20" s="32" t="str">
        <f aca="false">IF($E20="g",$D20,"")</f>
        <v/>
      </c>
      <c r="H20" s="26"/>
    </row>
    <row r="21" customFormat="false" ht="15" hidden="false" customHeight="true" outlineLevel="0" collapsed="false">
      <c r="A21" s="26" t="s">
        <v>113</v>
      </c>
      <c r="B21" s="26"/>
      <c r="C21" s="26"/>
      <c r="D21" s="26" t="n">
        <v>0</v>
      </c>
      <c r="E21" s="26"/>
      <c r="F21" s="31" t="n">
        <f aca="false">IFERROR($D21*IF($E21="g",INDEX('Ingredients Database'!$L$5:$L$16,MATCH($C21,'Ingredients Database'!$A$5:$A$16,0)),IF($E21="piece",INDEX('Ingredients Database'!$M$5:$M$16,MATCH($C21,'Ingredients Database'!$A$5:$A$16,0)),IF($E21="l",INDEX('Ingredients Database'!$N$5:$N$16,MATCH($C21,'Ingredients Database'!$A$5:$A$16,0)),0))),0)</f>
        <v>0</v>
      </c>
      <c r="G21" s="32" t="str">
        <f aca="false">IF($E21="g",$D21,"")</f>
        <v/>
      </c>
      <c r="H21" s="26"/>
    </row>
    <row r="22" customFormat="false" ht="15" hidden="false" customHeight="true" outlineLevel="0" collapsed="false">
      <c r="A22" s="26" t="s">
        <v>113</v>
      </c>
      <c r="B22" s="26"/>
      <c r="C22" s="26"/>
      <c r="D22" s="26" t="n">
        <v>0</v>
      </c>
      <c r="E22" s="26"/>
      <c r="F22" s="31" t="n">
        <f aca="false">IFERROR($D22*IF($E22="g",INDEX('Ingredients Database'!$L$5:$L$16,MATCH($C22,'Ingredients Database'!$A$5:$A$16,0)),IF($E22="piece",INDEX('Ingredients Database'!$M$5:$M$16,MATCH($C22,'Ingredients Database'!$A$5:$A$16,0)),IF($E22="l",INDEX('Ingredients Database'!$N$5:$N$16,MATCH($C22,'Ingredients Database'!$A$5:$A$16,0)),0))),0)</f>
        <v>0</v>
      </c>
      <c r="G22" s="32" t="str">
        <f aca="false">IF($E22="g",$D22,"")</f>
        <v/>
      </c>
      <c r="H22" s="26"/>
    </row>
    <row r="23" customFormat="false" ht="15" hidden="false" customHeight="true" outlineLevel="0" collapsed="false">
      <c r="A23" s="26" t="s">
        <v>113</v>
      </c>
      <c r="B23" s="26"/>
      <c r="C23" s="26"/>
      <c r="D23" s="26" t="n">
        <v>0</v>
      </c>
      <c r="E23" s="26"/>
      <c r="F23" s="31" t="n">
        <f aca="false">IFERROR($D23*IF($E23="g",INDEX('Ingredients Database'!$L$5:$L$16,MATCH($C23,'Ingredients Database'!$A$5:$A$16,0)),IF($E23="piece",INDEX('Ingredients Database'!$M$5:$M$16,MATCH($C23,'Ingredients Database'!$A$5:$A$16,0)),IF($E23="l",INDEX('Ingredients Database'!$N$5:$N$16,MATCH($C23,'Ingredients Database'!$A$5:$A$16,0)),0))),0)</f>
        <v>0</v>
      </c>
      <c r="G23" s="32" t="str">
        <f aca="false">IF($E23="g",$D23,"")</f>
        <v/>
      </c>
      <c r="H23" s="26"/>
    </row>
    <row r="24" customFormat="false" ht="15" hidden="false" customHeight="true" outlineLevel="0" collapsed="false">
      <c r="A24" s="26" t="s">
        <v>114</v>
      </c>
      <c r="B24" s="26"/>
      <c r="C24" s="26"/>
      <c r="D24" s="26" t="n">
        <v>0</v>
      </c>
      <c r="E24" s="26"/>
      <c r="F24" s="31" t="n">
        <f aca="false">IFERROR($D24*IF($E24="g",INDEX('Ingredients Database'!$L$5:$L$16,MATCH($C24,'Ingredients Database'!$A$5:$A$16,0)),IF($E24="piece",INDEX('Ingredients Database'!$M$5:$M$16,MATCH($C24,'Ingredients Database'!$A$5:$A$16,0)),IF($E24="l",INDEX('Ingredients Database'!$N$5:$N$16,MATCH($C24,'Ingredients Database'!$A$5:$A$16,0)),0))),0)</f>
        <v>0</v>
      </c>
      <c r="G24" s="32" t="str">
        <f aca="false">IF($E24="g",$D24,"")</f>
        <v/>
      </c>
      <c r="H24" s="26"/>
    </row>
    <row r="27" customFormat="false" ht="15" hidden="false" customHeight="true" outlineLevel="0" collapsed="false">
      <c r="A27" s="4" t="s">
        <v>115</v>
      </c>
    </row>
    <row r="28" customFormat="false" ht="30" hidden="false" customHeight="true" outlineLevel="0" collapsed="false">
      <c r="A28" s="25" t="s">
        <v>103</v>
      </c>
      <c r="B28" s="25" t="s">
        <v>75</v>
      </c>
      <c r="C28" s="25" t="s">
        <v>116</v>
      </c>
      <c r="D28" s="25" t="s">
        <v>117</v>
      </c>
      <c r="E28" s="25" t="s">
        <v>118</v>
      </c>
      <c r="F28" s="25" t="s">
        <v>108</v>
      </c>
    </row>
    <row r="29" customFormat="false" ht="15" hidden="false" customHeight="true" outlineLevel="0" collapsed="false">
      <c r="A29" s="26" t="s">
        <v>109</v>
      </c>
      <c r="B29" s="26"/>
      <c r="C29" s="31" t="n">
        <f aca="false">SUMIFS($F$5:$F$24,$A$5:$A$24,A29)</f>
        <v>0</v>
      </c>
      <c r="D29" s="32" t="n">
        <f aca="false">SUMIFS($G$5:$G$24,$A$5:$A$24,A29)</f>
        <v>0</v>
      </c>
      <c r="E29" s="26"/>
      <c r="F29" s="26"/>
    </row>
    <row r="30" customFormat="false" ht="15" hidden="false" customHeight="true" outlineLevel="0" collapsed="false">
      <c r="A30" s="26" t="s">
        <v>110</v>
      </c>
      <c r="B30" s="26"/>
      <c r="C30" s="31" t="n">
        <f aca="false">SUMIFS($F$5:$F$24,$A$5:$A$24,A30)</f>
        <v>0</v>
      </c>
      <c r="D30" s="32" t="n">
        <f aca="false">SUMIFS($G$5:$G$24,$A$5:$A$24,A30)</f>
        <v>0</v>
      </c>
      <c r="E30" s="26"/>
      <c r="F30" s="26"/>
    </row>
    <row r="31" customFormat="false" ht="15" hidden="false" customHeight="true" outlineLevel="0" collapsed="false">
      <c r="A31" s="26" t="s">
        <v>111</v>
      </c>
      <c r="B31" s="26"/>
      <c r="C31" s="31" t="n">
        <f aca="false">SUMIFS($F$5:$F$24,$A$5:$A$24,A31)</f>
        <v>0</v>
      </c>
      <c r="D31" s="32" t="n">
        <f aca="false">SUMIFS($G$5:$G$24,$A$5:$A$24,A31)</f>
        <v>0</v>
      </c>
      <c r="E31" s="26"/>
      <c r="F31" s="26"/>
    </row>
    <row r="32" customFormat="false" ht="15" hidden="false" customHeight="true" outlineLevel="0" collapsed="false">
      <c r="A32" s="26" t="s">
        <v>112</v>
      </c>
      <c r="B32" s="26"/>
      <c r="C32" s="31" t="n">
        <f aca="false">SUMIFS($F$5:$F$24,$A$5:$A$24,A32)</f>
        <v>0</v>
      </c>
      <c r="D32" s="32" t="n">
        <f aca="false">SUMIFS($G$5:$G$24,$A$5:$A$24,A32)</f>
        <v>0</v>
      </c>
      <c r="E32" s="26"/>
      <c r="F32" s="26"/>
    </row>
    <row r="33" customFormat="false" ht="15" hidden="false" customHeight="true" outlineLevel="0" collapsed="false">
      <c r="A33" s="26" t="s">
        <v>113</v>
      </c>
      <c r="B33" s="26"/>
      <c r="C33" s="31" t="n">
        <f aca="false">SUMIFS($F$5:$F$24,$A$5:$A$24,A33)</f>
        <v>0</v>
      </c>
      <c r="D33" s="32" t="n">
        <f aca="false">SUMIFS($G$5:$G$24,$A$5:$A$24,A33)</f>
        <v>0</v>
      </c>
      <c r="E33" s="26"/>
      <c r="F33" s="26"/>
    </row>
    <row r="34" customFormat="false" ht="15" hidden="false" customHeight="true" outlineLevel="0" collapsed="false">
      <c r="A34" s="26" t="s">
        <v>114</v>
      </c>
      <c r="B34" s="26"/>
      <c r="C34" s="31" t="n">
        <f aca="false">SUMIFS($F$5:$F$24,$A$5:$A$24,A34)</f>
        <v>0</v>
      </c>
      <c r="D34" s="32" t="n">
        <f aca="false">SUMIFS($G$5:$G$24,$A$5:$A$24,A34)</f>
        <v>0</v>
      </c>
      <c r="E34" s="26"/>
      <c r="F34" s="26"/>
    </row>
  </sheetData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E5:E200" type="list">
      <formula1>"g,l,piece"</formula1>
      <formula2>0</formula2>
    </dataValidation>
    <dataValidation allowBlank="true" errorStyle="stop" operator="between" showDropDown="false" showErrorMessage="false" showInputMessage="false" sqref="C5:C200" type="list">
      <formula1>'Ingredients Database'!$A$5:$A$16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4" min="3" style="1" width="8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8"/>
    <col collapsed="false" customWidth="true" hidden="false" outlineLevel="0" max="8" min="8" style="1" width="15"/>
    <col collapsed="false" customWidth="true" hidden="false" outlineLevel="0" max="9" min="9" style="1" width="14"/>
  </cols>
  <sheetData>
    <row r="1" customFormat="false" ht="25.5" hidden="false" customHeight="true" outlineLevel="0" collapsed="false">
      <c r="A1" s="2" t="s">
        <v>119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120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25" t="s">
        <v>68</v>
      </c>
      <c r="B4" s="25" t="s">
        <v>121</v>
      </c>
      <c r="C4" s="25" t="s">
        <v>122</v>
      </c>
      <c r="D4" s="25" t="s">
        <v>123</v>
      </c>
      <c r="E4" s="25" t="s">
        <v>124</v>
      </c>
      <c r="F4" s="25" t="s">
        <v>125</v>
      </c>
      <c r="G4" s="25" t="s">
        <v>126</v>
      </c>
      <c r="H4" s="25" t="s">
        <v>127</v>
      </c>
      <c r="I4" s="25" t="s">
        <v>128</v>
      </c>
    </row>
    <row r="5" customFormat="false" ht="15" hidden="false" customHeight="true" outlineLevel="0" collapsed="false">
      <c r="A5" s="26" t="s">
        <v>109</v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31" t="n">
        <f aca="false">SUM(B5:H5)</f>
        <v>0</v>
      </c>
    </row>
    <row r="6" customFormat="false" ht="15" hidden="false" customHeight="true" outlineLevel="0" collapsed="false">
      <c r="A6" s="26" t="s">
        <v>110</v>
      </c>
      <c r="B6" s="27" t="n">
        <v>0</v>
      </c>
      <c r="C6" s="27" t="n">
        <v>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31" t="n">
        <f aca="false">SUM(B6:H6)</f>
        <v>0</v>
      </c>
    </row>
    <row r="7" customFormat="false" ht="15" hidden="false" customHeight="true" outlineLevel="0" collapsed="false">
      <c r="A7" s="26" t="s">
        <v>111</v>
      </c>
      <c r="B7" s="27" t="n">
        <v>0</v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0</v>
      </c>
      <c r="H7" s="27" t="n">
        <v>0</v>
      </c>
      <c r="I7" s="31" t="n">
        <f aca="false">SUM(B7:H7)</f>
        <v>0</v>
      </c>
    </row>
    <row r="8" customFormat="false" ht="15" hidden="false" customHeight="true" outlineLevel="0" collapsed="false">
      <c r="A8" s="26" t="s">
        <v>112</v>
      </c>
      <c r="B8" s="27" t="n">
        <v>0</v>
      </c>
      <c r="C8" s="27" t="n">
        <v>0</v>
      </c>
      <c r="D8" s="27" t="n">
        <v>0</v>
      </c>
      <c r="E8" s="27" t="n">
        <v>0</v>
      </c>
      <c r="F8" s="27" t="n">
        <v>0</v>
      </c>
      <c r="G8" s="27" t="n">
        <v>0</v>
      </c>
      <c r="H8" s="27" t="n">
        <v>0</v>
      </c>
      <c r="I8" s="31" t="n">
        <f aca="false">SUM(B8:H8)</f>
        <v>0</v>
      </c>
    </row>
    <row r="9" customFormat="false" ht="15" hidden="false" customHeight="true" outlineLevel="0" collapsed="false">
      <c r="A9" s="26" t="s">
        <v>113</v>
      </c>
      <c r="B9" s="27" t="n">
        <v>0</v>
      </c>
      <c r="C9" s="27" t="n">
        <v>0</v>
      </c>
      <c r="D9" s="27" t="n">
        <v>0</v>
      </c>
      <c r="E9" s="27" t="n">
        <v>0</v>
      </c>
      <c r="F9" s="27" t="n">
        <v>0</v>
      </c>
      <c r="G9" s="27" t="n">
        <v>0</v>
      </c>
      <c r="H9" s="27" t="n">
        <v>0</v>
      </c>
      <c r="I9" s="31" t="n">
        <f aca="false">SUM(B9:H9)</f>
        <v>0</v>
      </c>
    </row>
    <row r="10" customFormat="false" ht="15" hidden="false" customHeight="true" outlineLevel="0" collapsed="false">
      <c r="A10" s="26" t="s">
        <v>114</v>
      </c>
      <c r="B10" s="27" t="n">
        <v>0</v>
      </c>
      <c r="C10" s="27" t="n">
        <v>0</v>
      </c>
      <c r="D10" s="27" t="n">
        <v>0</v>
      </c>
      <c r="E10" s="27" t="n">
        <v>0</v>
      </c>
      <c r="F10" s="27" t="n">
        <v>0</v>
      </c>
      <c r="G10" s="27" t="n">
        <v>0</v>
      </c>
      <c r="H10" s="27" t="n">
        <v>0</v>
      </c>
      <c r="I10" s="31" t="n">
        <f aca="false">SUM(B10:H10)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3"/>
  </cols>
  <sheetData>
    <row r="1" customFormat="false" ht="25.5" hidden="false" customHeight="true" outlineLevel="0" collapsed="false">
      <c r="A1" s="2" t="s">
        <v>29</v>
      </c>
      <c r="B1" s="2"/>
      <c r="C1" s="2"/>
    </row>
    <row r="2" customFormat="false" ht="18" hidden="false" customHeight="true" outlineLevel="0" collapsed="false">
      <c r="A2" s="3" t="s">
        <v>129</v>
      </c>
      <c r="B2" s="3"/>
      <c r="C2" s="3"/>
    </row>
    <row r="4" customFormat="false" ht="30" hidden="false" customHeight="true" outlineLevel="0" collapsed="false">
      <c r="A4" s="25" t="s">
        <v>130</v>
      </c>
      <c r="B4" s="25" t="s">
        <v>131</v>
      </c>
    </row>
    <row r="5" customFormat="false" ht="15" hidden="false" customHeight="true" outlineLevel="0" collapsed="false">
      <c r="A5" s="26" t="s">
        <v>132</v>
      </c>
      <c r="B5" s="33" t="n">
        <v>0</v>
      </c>
    </row>
    <row r="6" customFormat="false" ht="15" hidden="false" customHeight="true" outlineLevel="0" collapsed="false">
      <c r="A6" s="26" t="s">
        <v>133</v>
      </c>
      <c r="B6" s="33" t="n">
        <v>0</v>
      </c>
    </row>
    <row r="7" customFormat="false" ht="15" hidden="false" customHeight="true" outlineLevel="0" collapsed="false">
      <c r="A7" s="26" t="s">
        <v>134</v>
      </c>
      <c r="B7" s="33" t="n">
        <v>0</v>
      </c>
    </row>
    <row r="8" customFormat="false" ht="15" hidden="false" customHeight="true" outlineLevel="0" collapsed="false">
      <c r="A8" s="26" t="s">
        <v>135</v>
      </c>
      <c r="B8" s="33" t="n">
        <v>0</v>
      </c>
    </row>
    <row r="9" customFormat="false" ht="15" hidden="false" customHeight="true" outlineLevel="0" collapsed="false">
      <c r="A9" s="26" t="s">
        <v>136</v>
      </c>
      <c r="B9" s="33" t="n">
        <v>0</v>
      </c>
    </row>
    <row r="10" customFormat="false" ht="15" hidden="false" customHeight="true" outlineLevel="0" collapsed="false">
      <c r="A10" s="26" t="s">
        <v>137</v>
      </c>
      <c r="B10" s="33" t="n">
        <v>0</v>
      </c>
    </row>
    <row r="11" customFormat="false" ht="15" hidden="false" customHeight="true" outlineLevel="0" collapsed="false">
      <c r="A11" s="26" t="s">
        <v>138</v>
      </c>
      <c r="B11" s="33" t="n">
        <v>0</v>
      </c>
    </row>
    <row r="12" customFormat="false" ht="15" hidden="false" customHeight="true" outlineLevel="0" collapsed="false">
      <c r="A12" s="26" t="s">
        <v>139</v>
      </c>
      <c r="B12" s="33" t="n">
        <v>0</v>
      </c>
    </row>
    <row r="13" customFormat="false" ht="15" hidden="false" customHeight="true" outlineLevel="0" collapsed="false">
      <c r="A13" s="26" t="s">
        <v>140</v>
      </c>
      <c r="B13" s="33" t="n">
        <v>0</v>
      </c>
    </row>
    <row r="14" customFormat="false" ht="15" hidden="false" customHeight="true" outlineLevel="0" collapsed="false">
      <c r="A14" s="26" t="s">
        <v>141</v>
      </c>
      <c r="B14" s="33" t="n">
        <v>0</v>
      </c>
    </row>
    <row r="15" customFormat="false" ht="15" hidden="false" customHeight="true" outlineLevel="0" collapsed="false">
      <c r="A15" s="26" t="s">
        <v>142</v>
      </c>
      <c r="B15" s="33" t="n">
        <v>0</v>
      </c>
    </row>
    <row r="16" customFormat="false" ht="15" hidden="false" customHeight="true" outlineLevel="0" collapsed="false">
      <c r="A16" s="26" t="s">
        <v>143</v>
      </c>
      <c r="B16" s="33" t="n">
        <v>0</v>
      </c>
    </row>
    <row r="17" customFormat="false" ht="15" hidden="false" customHeight="true" outlineLevel="0" collapsed="false">
      <c r="A17" s="26" t="s">
        <v>144</v>
      </c>
      <c r="B17" s="33" t="n">
        <v>0</v>
      </c>
    </row>
    <row r="18" customFormat="false" ht="15" hidden="false" customHeight="true" outlineLevel="0" collapsed="false">
      <c r="A18" s="26" t="s">
        <v>145</v>
      </c>
      <c r="B18" s="33" t="n">
        <v>0</v>
      </c>
    </row>
    <row r="20" customFormat="false" ht="15" hidden="false" customHeight="true" outlineLevel="0" collapsed="false">
      <c r="A20" s="5" t="s">
        <v>146</v>
      </c>
      <c r="B20" s="34" t="n">
        <f aca="false">SUM(B5:B18)</f>
        <v>0</v>
      </c>
    </row>
    <row r="21" customFormat="false" ht="15" hidden="false" customHeight="true" outlineLevel="0" collapsed="false">
      <c r="A21" s="5" t="s">
        <v>147</v>
      </c>
      <c r="B21" s="35" t="n">
        <f aca="false">'Business Profile'!$B$8</f>
        <v>26</v>
      </c>
    </row>
    <row r="22" customFormat="false" ht="15" hidden="false" customHeight="true" outlineLevel="0" collapsed="false">
      <c r="A22" s="5" t="s">
        <v>148</v>
      </c>
      <c r="B22" s="16" t="n">
        <f aca="false">IFERROR(B20/B21,0)</f>
        <v>0</v>
      </c>
    </row>
    <row r="23" customFormat="false" ht="15" hidden="false" customHeight="true" outlineLevel="0" collapsed="false">
      <c r="A23" s="5" t="s">
        <v>149</v>
      </c>
      <c r="B23" s="35" t="n">
        <f aca="false">'Business Profile'!$B$14</f>
        <v>0</v>
      </c>
    </row>
    <row r="24" customFormat="false" ht="15" hidden="false" customHeight="true" outlineLevel="0" collapsed="false">
      <c r="A24" s="5" t="s">
        <v>150</v>
      </c>
      <c r="B24" s="16" t="n">
        <f aca="false">IFERROR(B22/B23,0)</f>
        <v>0</v>
      </c>
    </row>
    <row r="25" customFormat="false" ht="15" hidden="false" customHeight="true" outlineLevel="0" collapsed="false">
      <c r="A25" s="5" t="s">
        <v>151</v>
      </c>
      <c r="B25" s="36" t="n">
        <f aca="false">'Business Profile'!$B$15</f>
        <v>2</v>
      </c>
    </row>
    <row r="26" customFormat="false" ht="15" hidden="false" customHeight="true" outlineLevel="0" collapsed="false">
      <c r="A26" s="5" t="s">
        <v>152</v>
      </c>
      <c r="B26" s="16" t="n">
        <f aca="false">IFERROR(B24/B25,0)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U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20" min="3" style="1" width="12"/>
    <col collapsed="false" customWidth="true" hidden="false" outlineLevel="0" max="21" min="21" style="1" width="14"/>
  </cols>
  <sheetData>
    <row r="1" customFormat="false" ht="25.5" hidden="false" customHeight="true" outlineLevel="0" collapsed="false">
      <c r="A1" s="2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8" hidden="false" customHeight="true" outlineLevel="0" collapsed="false">
      <c r="A2" s="3" t="s">
        <v>154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30" hidden="false" customHeight="true" outlineLevel="0" collapsed="false">
      <c r="A4" s="25" t="s">
        <v>68</v>
      </c>
      <c r="B4" s="25" t="s">
        <v>75</v>
      </c>
      <c r="C4" s="25" t="s">
        <v>155</v>
      </c>
      <c r="D4" s="25" t="s">
        <v>156</v>
      </c>
      <c r="E4" s="25" t="s">
        <v>157</v>
      </c>
      <c r="F4" s="25" t="s">
        <v>158</v>
      </c>
      <c r="G4" s="25" t="s">
        <v>159</v>
      </c>
      <c r="H4" s="25" t="s">
        <v>160</v>
      </c>
      <c r="I4" s="25" t="s">
        <v>161</v>
      </c>
      <c r="J4" s="25" t="s">
        <v>162</v>
      </c>
      <c r="K4" s="25" t="s">
        <v>163</v>
      </c>
      <c r="L4" s="25" t="s">
        <v>164</v>
      </c>
      <c r="M4" s="25" t="s">
        <v>70</v>
      </c>
      <c r="N4" s="25" t="s">
        <v>165</v>
      </c>
      <c r="O4" s="25" t="s">
        <v>166</v>
      </c>
      <c r="P4" s="25" t="s">
        <v>167</v>
      </c>
      <c r="Q4" s="25" t="s">
        <v>168</v>
      </c>
      <c r="R4" s="25" t="s">
        <v>169</v>
      </c>
      <c r="S4" s="25" t="s">
        <v>170</v>
      </c>
      <c r="T4" s="25" t="s">
        <v>171</v>
      </c>
      <c r="U4" s="25" t="s">
        <v>172</v>
      </c>
    </row>
    <row r="5" customFormat="false" ht="15" hidden="false" customHeight="true" outlineLevel="0" collapsed="false">
      <c r="A5" s="26" t="s">
        <v>109</v>
      </c>
      <c r="B5" s="26"/>
      <c r="C5" s="31" t="n">
        <f aca="false">IFERROR(INDEX('Recipe Builder'!$C$29:$C$34,MATCH($A5,'Recipe Builder'!$A$29:$A$34,0)),0)</f>
        <v>0</v>
      </c>
      <c r="D5" s="31" t="n">
        <f aca="false">IFERROR(INDEX(Packaging!$I$5:$I$10,MATCH($A5,Packaging!$A$5:$A$10,0)),0)</f>
        <v>0</v>
      </c>
      <c r="E5" s="27" t="n">
        <v>0</v>
      </c>
      <c r="F5" s="31" t="n">
        <f aca="false">Overhead_Per_Item</f>
        <v>0</v>
      </c>
      <c r="G5" s="27" t="n">
        <v>0</v>
      </c>
      <c r="H5" s="31" t="n">
        <f aca="false">$J5*'Business Profile'!$B$7</f>
        <v>0</v>
      </c>
      <c r="I5" s="31" t="n">
        <f aca="false">C5+D5+E5+F5+G5</f>
        <v>0</v>
      </c>
      <c r="J5" s="27" t="n">
        <v>0</v>
      </c>
      <c r="K5" s="31" t="n">
        <f aca="false">J5-C5-D5</f>
        <v>0</v>
      </c>
      <c r="L5" s="37" t="n">
        <f aca="false">IFERROR(K5/J5,0)</f>
        <v>0</v>
      </c>
      <c r="M5" s="31" t="n">
        <f aca="false">J5-I5</f>
        <v>0</v>
      </c>
      <c r="N5" s="37" t="n">
        <f aca="false">IFERROR(M5/J5,0)</f>
        <v>0</v>
      </c>
      <c r="O5" s="37" t="n">
        <f aca="false">IFERROR(C5/J5,0)</f>
        <v>0</v>
      </c>
      <c r="P5" s="37" t="n">
        <f aca="false">IFERROR((J5-C5)/C5,0)</f>
        <v>0</v>
      </c>
      <c r="Q5" s="31" t="n">
        <f aca="false">I5</f>
        <v>0</v>
      </c>
      <c r="R5" s="31" t="n">
        <f aca="false">IFERROR(I5/(1-'Business Profile'!$B$11),0)</f>
        <v>0</v>
      </c>
      <c r="S5" s="31" t="n">
        <f aca="false">IFERROR(C5/'Business Profile'!$B$9,0)</f>
        <v>0</v>
      </c>
      <c r="T5" s="31" t="n">
        <f aca="false">J5-R5</f>
        <v>0</v>
      </c>
      <c r="U5" s="38" t="str">
        <f aca="false">IF(M5&lt;0,"Losing Money",IF(N5&lt;'Business Profile'!$B$11*0.5,"Low Margin",IF(N5&lt;'Business Profile'!$B$11,"Needs Review",IF(AND(N5&gt;='Business Profile'!$B$11,O5&lt;='Business Profile'!$B$9),"Excellent","Healthy"))))</f>
        <v>Low Margin</v>
      </c>
    </row>
    <row r="6" customFormat="false" ht="15" hidden="false" customHeight="true" outlineLevel="0" collapsed="false">
      <c r="A6" s="26" t="s">
        <v>110</v>
      </c>
      <c r="B6" s="26"/>
      <c r="C6" s="31" t="n">
        <f aca="false">IFERROR(INDEX('Recipe Builder'!$C$29:$C$34,MATCH($A6,'Recipe Builder'!$A$29:$A$34,0)),0)</f>
        <v>0</v>
      </c>
      <c r="D6" s="31" t="n">
        <f aca="false">IFERROR(INDEX(Packaging!$I$5:$I$10,MATCH($A6,Packaging!$A$5:$A$10,0)),0)</f>
        <v>0</v>
      </c>
      <c r="E6" s="27" t="n">
        <v>0</v>
      </c>
      <c r="F6" s="31" t="n">
        <f aca="false">Overhead_Per_Item</f>
        <v>0</v>
      </c>
      <c r="G6" s="27" t="n">
        <v>0</v>
      </c>
      <c r="H6" s="31" t="n">
        <f aca="false">$J6*'Business Profile'!$B$7</f>
        <v>0</v>
      </c>
      <c r="I6" s="31" t="n">
        <f aca="false">C6+D6+E6+F6+G6</f>
        <v>0</v>
      </c>
      <c r="J6" s="27" t="n">
        <v>0</v>
      </c>
      <c r="K6" s="31" t="n">
        <f aca="false">J6-C6-D6</f>
        <v>0</v>
      </c>
      <c r="L6" s="37" t="n">
        <f aca="false">IFERROR(K6/J6,0)</f>
        <v>0</v>
      </c>
      <c r="M6" s="31" t="n">
        <f aca="false">J6-I6</f>
        <v>0</v>
      </c>
      <c r="N6" s="37" t="n">
        <f aca="false">IFERROR(M6/J6,0)</f>
        <v>0</v>
      </c>
      <c r="O6" s="37" t="n">
        <f aca="false">IFERROR(C6/J6,0)</f>
        <v>0</v>
      </c>
      <c r="P6" s="37" t="n">
        <f aca="false">IFERROR((J6-C6)/C6,0)</f>
        <v>0</v>
      </c>
      <c r="Q6" s="31" t="n">
        <f aca="false">I6</f>
        <v>0</v>
      </c>
      <c r="R6" s="31" t="n">
        <f aca="false">IFERROR(I6/(1-'Business Profile'!$B$11),0)</f>
        <v>0</v>
      </c>
      <c r="S6" s="31" t="n">
        <f aca="false">IFERROR(C6/'Business Profile'!$B$9,0)</f>
        <v>0</v>
      </c>
      <c r="T6" s="31" t="n">
        <f aca="false">J6-R6</f>
        <v>0</v>
      </c>
      <c r="U6" s="38" t="str">
        <f aca="false">IF(M6&lt;0,"Losing Money",IF(N6&lt;'Business Profile'!$B$11*0.5,"Low Margin",IF(N6&lt;'Business Profile'!$B$11,"Needs Review",IF(AND(N6&gt;='Business Profile'!$B$11,O6&lt;='Business Profile'!$B$9),"Excellent","Healthy"))))</f>
        <v>Low Margin</v>
      </c>
    </row>
    <row r="7" customFormat="false" ht="15" hidden="false" customHeight="true" outlineLevel="0" collapsed="false">
      <c r="A7" s="26" t="s">
        <v>111</v>
      </c>
      <c r="B7" s="26"/>
      <c r="C7" s="31" t="n">
        <f aca="false">IFERROR(INDEX('Recipe Builder'!$C$29:$C$34,MATCH($A7,'Recipe Builder'!$A$29:$A$34,0)),0)</f>
        <v>0</v>
      </c>
      <c r="D7" s="31" t="n">
        <f aca="false">IFERROR(INDEX(Packaging!$I$5:$I$10,MATCH($A7,Packaging!$A$5:$A$10,0)),0)</f>
        <v>0</v>
      </c>
      <c r="E7" s="27" t="n">
        <v>0</v>
      </c>
      <c r="F7" s="31" t="n">
        <f aca="false">Overhead_Per_Item</f>
        <v>0</v>
      </c>
      <c r="G7" s="27" t="n">
        <v>0</v>
      </c>
      <c r="H7" s="31" t="n">
        <f aca="false">$J7*'Business Profile'!$B$7</f>
        <v>0</v>
      </c>
      <c r="I7" s="31" t="n">
        <f aca="false">C7+D7+E7+F7+G7</f>
        <v>0</v>
      </c>
      <c r="J7" s="27" t="n">
        <v>0</v>
      </c>
      <c r="K7" s="31" t="n">
        <f aca="false">J7-C7-D7</f>
        <v>0</v>
      </c>
      <c r="L7" s="37" t="n">
        <f aca="false">IFERROR(K7/J7,0)</f>
        <v>0</v>
      </c>
      <c r="M7" s="31" t="n">
        <f aca="false">J7-I7</f>
        <v>0</v>
      </c>
      <c r="N7" s="37" t="n">
        <f aca="false">IFERROR(M7/J7,0)</f>
        <v>0</v>
      </c>
      <c r="O7" s="37" t="n">
        <f aca="false">IFERROR(C7/J7,0)</f>
        <v>0</v>
      </c>
      <c r="P7" s="37" t="n">
        <f aca="false">IFERROR((J7-C7)/C7,0)</f>
        <v>0</v>
      </c>
      <c r="Q7" s="31" t="n">
        <f aca="false">I7</f>
        <v>0</v>
      </c>
      <c r="R7" s="31" t="n">
        <f aca="false">IFERROR(I7/(1-'Business Profile'!$B$11),0)</f>
        <v>0</v>
      </c>
      <c r="S7" s="31" t="n">
        <f aca="false">IFERROR(C7/'Business Profile'!$B$9,0)</f>
        <v>0</v>
      </c>
      <c r="T7" s="31" t="n">
        <f aca="false">J7-R7</f>
        <v>0</v>
      </c>
      <c r="U7" s="38" t="str">
        <f aca="false">IF(M7&lt;0,"Losing Money",IF(N7&lt;'Business Profile'!$B$11*0.5,"Low Margin",IF(N7&lt;'Business Profile'!$B$11,"Needs Review",IF(AND(N7&gt;='Business Profile'!$B$11,O7&lt;='Business Profile'!$B$9),"Excellent","Healthy"))))</f>
        <v>Low Margin</v>
      </c>
    </row>
    <row r="8" customFormat="false" ht="15" hidden="false" customHeight="true" outlineLevel="0" collapsed="false">
      <c r="A8" s="26" t="s">
        <v>112</v>
      </c>
      <c r="B8" s="26"/>
      <c r="C8" s="31" t="n">
        <f aca="false">IFERROR(INDEX('Recipe Builder'!$C$29:$C$34,MATCH($A8,'Recipe Builder'!$A$29:$A$34,0)),0)</f>
        <v>0</v>
      </c>
      <c r="D8" s="31" t="n">
        <f aca="false">IFERROR(INDEX(Packaging!$I$5:$I$10,MATCH($A8,Packaging!$A$5:$A$10,0)),0)</f>
        <v>0</v>
      </c>
      <c r="E8" s="27" t="n">
        <v>0</v>
      </c>
      <c r="F8" s="31" t="n">
        <f aca="false">Overhead_Per_Item</f>
        <v>0</v>
      </c>
      <c r="G8" s="27" t="n">
        <v>0</v>
      </c>
      <c r="H8" s="31" t="n">
        <f aca="false">$J8*'Business Profile'!$B$7</f>
        <v>0</v>
      </c>
      <c r="I8" s="31" t="n">
        <f aca="false">C8+D8+E8+F8+G8</f>
        <v>0</v>
      </c>
      <c r="J8" s="27" t="n">
        <v>0</v>
      </c>
      <c r="K8" s="31" t="n">
        <f aca="false">J8-C8-D8</f>
        <v>0</v>
      </c>
      <c r="L8" s="37" t="n">
        <f aca="false">IFERROR(K8/J8,0)</f>
        <v>0</v>
      </c>
      <c r="M8" s="31" t="n">
        <f aca="false">J8-I8</f>
        <v>0</v>
      </c>
      <c r="N8" s="37" t="n">
        <f aca="false">IFERROR(M8/J8,0)</f>
        <v>0</v>
      </c>
      <c r="O8" s="37" t="n">
        <f aca="false">IFERROR(C8/J8,0)</f>
        <v>0</v>
      </c>
      <c r="P8" s="37" t="n">
        <f aca="false">IFERROR((J8-C8)/C8,0)</f>
        <v>0</v>
      </c>
      <c r="Q8" s="31" t="n">
        <f aca="false">I8</f>
        <v>0</v>
      </c>
      <c r="R8" s="31" t="n">
        <f aca="false">IFERROR(I8/(1-'Business Profile'!$B$11),0)</f>
        <v>0</v>
      </c>
      <c r="S8" s="31" t="n">
        <f aca="false">IFERROR(C8/'Business Profile'!$B$9,0)</f>
        <v>0</v>
      </c>
      <c r="T8" s="31" t="n">
        <f aca="false">J8-R8</f>
        <v>0</v>
      </c>
      <c r="U8" s="38" t="str">
        <f aca="false">IF(M8&lt;0,"Losing Money",IF(N8&lt;'Business Profile'!$B$11*0.5,"Low Margin",IF(N8&lt;'Business Profile'!$B$11,"Needs Review",IF(AND(N8&gt;='Business Profile'!$B$11,O8&lt;='Business Profile'!$B$9),"Excellent","Healthy"))))</f>
        <v>Low Margin</v>
      </c>
    </row>
    <row r="9" customFormat="false" ht="15" hidden="false" customHeight="true" outlineLevel="0" collapsed="false">
      <c r="A9" s="26" t="s">
        <v>113</v>
      </c>
      <c r="B9" s="26"/>
      <c r="C9" s="31" t="n">
        <f aca="false">IFERROR(INDEX('Recipe Builder'!$C$29:$C$34,MATCH($A9,'Recipe Builder'!$A$29:$A$34,0)),0)</f>
        <v>0</v>
      </c>
      <c r="D9" s="31" t="n">
        <f aca="false">IFERROR(INDEX(Packaging!$I$5:$I$10,MATCH($A9,Packaging!$A$5:$A$10,0)),0)</f>
        <v>0</v>
      </c>
      <c r="E9" s="27" t="n">
        <v>0</v>
      </c>
      <c r="F9" s="31" t="n">
        <f aca="false">Overhead_Per_Item</f>
        <v>0</v>
      </c>
      <c r="G9" s="27" t="n">
        <v>0</v>
      </c>
      <c r="H9" s="31" t="n">
        <f aca="false">$J9*'Business Profile'!$B$7</f>
        <v>0</v>
      </c>
      <c r="I9" s="31" t="n">
        <f aca="false">C9+D9+E9+F9+G9</f>
        <v>0</v>
      </c>
      <c r="J9" s="27" t="n">
        <v>0</v>
      </c>
      <c r="K9" s="31" t="n">
        <f aca="false">J9-C9-D9</f>
        <v>0</v>
      </c>
      <c r="L9" s="37" t="n">
        <f aca="false">IFERROR(K9/J9,0)</f>
        <v>0</v>
      </c>
      <c r="M9" s="31" t="n">
        <f aca="false">J9-I9</f>
        <v>0</v>
      </c>
      <c r="N9" s="37" t="n">
        <f aca="false">IFERROR(M9/J9,0)</f>
        <v>0</v>
      </c>
      <c r="O9" s="37" t="n">
        <f aca="false">IFERROR(C9/J9,0)</f>
        <v>0</v>
      </c>
      <c r="P9" s="37" t="n">
        <f aca="false">IFERROR((J9-C9)/C9,0)</f>
        <v>0</v>
      </c>
      <c r="Q9" s="31" t="n">
        <f aca="false">I9</f>
        <v>0</v>
      </c>
      <c r="R9" s="31" t="n">
        <f aca="false">IFERROR(I9/(1-'Business Profile'!$B$11),0)</f>
        <v>0</v>
      </c>
      <c r="S9" s="31" t="n">
        <f aca="false">IFERROR(C9/'Business Profile'!$B$9,0)</f>
        <v>0</v>
      </c>
      <c r="T9" s="31" t="n">
        <f aca="false">J9-R9</f>
        <v>0</v>
      </c>
      <c r="U9" s="38" t="str">
        <f aca="false">IF(M9&lt;0,"Losing Money",IF(N9&lt;'Business Profile'!$B$11*0.5,"Low Margin",IF(N9&lt;'Business Profile'!$B$11,"Needs Review",IF(AND(N9&gt;='Business Profile'!$B$11,O9&lt;='Business Profile'!$B$9),"Excellent","Healthy"))))</f>
        <v>Low Margin</v>
      </c>
    </row>
    <row r="10" customFormat="false" ht="15" hidden="false" customHeight="true" outlineLevel="0" collapsed="false">
      <c r="A10" s="26" t="s">
        <v>114</v>
      </c>
      <c r="B10" s="26"/>
      <c r="C10" s="31" t="n">
        <f aca="false">IFERROR(INDEX('Recipe Builder'!$C$29:$C$34,MATCH($A10,'Recipe Builder'!$A$29:$A$34,0)),0)</f>
        <v>0</v>
      </c>
      <c r="D10" s="31" t="n">
        <f aca="false">IFERROR(INDEX(Packaging!$I$5:$I$10,MATCH($A10,Packaging!$A$5:$A$10,0)),0)</f>
        <v>0</v>
      </c>
      <c r="E10" s="27" t="n">
        <v>0</v>
      </c>
      <c r="F10" s="31" t="n">
        <f aca="false">Overhead_Per_Item</f>
        <v>0</v>
      </c>
      <c r="G10" s="27" t="n">
        <v>0</v>
      </c>
      <c r="H10" s="31" t="n">
        <f aca="false">$J10*'Business Profile'!$B$7</f>
        <v>0</v>
      </c>
      <c r="I10" s="31" t="n">
        <f aca="false">C10+D10+E10+F10+G10</f>
        <v>0</v>
      </c>
      <c r="J10" s="27" t="n">
        <v>0</v>
      </c>
      <c r="K10" s="31" t="n">
        <f aca="false">J10-C10-D10</f>
        <v>0</v>
      </c>
      <c r="L10" s="37" t="n">
        <f aca="false">IFERROR(K10/J10,0)</f>
        <v>0</v>
      </c>
      <c r="M10" s="31" t="n">
        <f aca="false">J10-I10</f>
        <v>0</v>
      </c>
      <c r="N10" s="37" t="n">
        <f aca="false">IFERROR(M10/J10,0)</f>
        <v>0</v>
      </c>
      <c r="O10" s="37" t="n">
        <f aca="false">IFERROR(C10/J10,0)</f>
        <v>0</v>
      </c>
      <c r="P10" s="37" t="n">
        <f aca="false">IFERROR((J10-C10)/C10,0)</f>
        <v>0</v>
      </c>
      <c r="Q10" s="31" t="n">
        <f aca="false">I10</f>
        <v>0</v>
      </c>
      <c r="R10" s="31" t="n">
        <f aca="false">IFERROR(I10/(1-'Business Profile'!$B$11),0)</f>
        <v>0</v>
      </c>
      <c r="S10" s="31" t="n">
        <f aca="false">IFERROR(C10/'Business Profile'!$B$9,0)</f>
        <v>0</v>
      </c>
      <c r="T10" s="31" t="n">
        <f aca="false">J10-R10</f>
        <v>0</v>
      </c>
      <c r="U10" s="38" t="str">
        <f aca="false">IF(M10&lt;0,"Losing Money",IF(N10&lt;'Business Profile'!$B$11*0.5,"Low Margin",IF(N10&lt;'Business Profile'!$B$11,"Needs Review",IF(AND(N10&gt;='Business Profile'!$B$11,O10&lt;='Business Profile'!$B$9),"Excellent","Healthy"))))</f>
        <v>Low Margin</v>
      </c>
    </row>
  </sheetData>
  <mergeCells count="2">
    <mergeCell ref="A1:U1"/>
    <mergeCell ref="A2:U2"/>
  </mergeCells>
  <conditionalFormatting sqref="U5:U10">
    <cfRule type="cellIs" priority="2" operator="equal" aboveAverage="0" equalAverage="0" bottom="0" percent="0" rank="0" text="" dxfId="1">
      <formula>"Excellent"</formula>
    </cfRule>
    <cfRule type="cellIs" priority="3" operator="equal" aboveAverage="0" equalAverage="0" bottom="0" percent="0" rank="0" text="" dxfId="2">
      <formula>"Healthy"</formula>
    </cfRule>
    <cfRule type="cellIs" priority="4" operator="equal" aboveAverage="0" equalAverage="0" bottom="0" percent="0" rank="0" text="" dxfId="3">
      <formula>"Needs Review"</formula>
    </cfRule>
    <cfRule type="cellIs" priority="5" operator="equal" aboveAverage="0" equalAverage="0" bottom="0" percent="0" rank="0" text="" dxfId="4">
      <formula>"Low Margin"</formula>
    </cfRule>
    <cfRule type="cellIs" priority="6" operator="equal" aboveAverage="0" equalAverage="0" bottom="0" percent="0" rank="0" text="" dxfId="5">
      <formula>"Losing Money"</formula>
    </cfRule>
  </conditionalFormatting>
  <conditionalFormatting sqref="O5:O10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6" min="4" style="1" width="12"/>
  </cols>
  <sheetData>
    <row r="1" customFormat="false" ht="25.5" hidden="false" customHeight="true" outlineLevel="0" collapsed="false">
      <c r="A1" s="2" t="s">
        <v>23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173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25" t="s">
        <v>174</v>
      </c>
      <c r="B4" s="25" t="s">
        <v>68</v>
      </c>
      <c r="C4" s="25" t="s">
        <v>104</v>
      </c>
      <c r="D4" s="25" t="s">
        <v>69</v>
      </c>
      <c r="E4" s="25" t="s">
        <v>163</v>
      </c>
      <c r="F4" s="25" t="s">
        <v>70</v>
      </c>
    </row>
    <row r="5" customFormat="false" ht="15" hidden="false" customHeight="true" outlineLevel="0" collapsed="false">
      <c r="A5" s="30" t="n">
        <v>46023</v>
      </c>
      <c r="B5" s="26" t="s">
        <v>109</v>
      </c>
      <c r="C5" s="26" t="n">
        <v>0</v>
      </c>
      <c r="D5" s="31" t="n">
        <f aca="false">IFERROR(C5*INDEX('Menu Pricing'!$J$5:$J$10,MATCH(B5,'Menu Pricing'!$A$5:$A$10,0)),0)</f>
        <v>0</v>
      </c>
      <c r="E5" s="31" t="n">
        <f aca="false">IFERROR(C5*INDEX('Menu Pricing'!$K$5:$K$10,MATCH(B5,'Menu Pricing'!$A$5:$A$10,0)),0)</f>
        <v>0</v>
      </c>
      <c r="F5" s="31" t="n">
        <f aca="false">IFERROR(C5*INDEX('Menu Pricing'!$M$5:$M$10,MATCH(B5,'Menu Pricing'!$A$5:$A$10,0)),0)</f>
        <v>0</v>
      </c>
    </row>
    <row r="6" customFormat="false" ht="15" hidden="false" customHeight="true" outlineLevel="0" collapsed="false">
      <c r="A6" s="30" t="n">
        <v>46023</v>
      </c>
      <c r="B6" s="26" t="s">
        <v>110</v>
      </c>
      <c r="C6" s="26" t="n">
        <v>0</v>
      </c>
      <c r="D6" s="31" t="n">
        <f aca="false">IFERROR(C6*INDEX('Menu Pricing'!$J$5:$J$10,MATCH(B6,'Menu Pricing'!$A$5:$A$10,0)),0)</f>
        <v>0</v>
      </c>
      <c r="E6" s="31" t="n">
        <f aca="false">IFERROR(C6*INDEX('Menu Pricing'!$K$5:$K$10,MATCH(B6,'Menu Pricing'!$A$5:$A$10,0)),0)</f>
        <v>0</v>
      </c>
      <c r="F6" s="31" t="n">
        <f aca="false">IFERROR(C6*INDEX('Menu Pricing'!$M$5:$M$10,MATCH(B6,'Menu Pricing'!$A$5:$A$10,0)),0)</f>
        <v>0</v>
      </c>
    </row>
    <row r="7" customFormat="false" ht="15" hidden="false" customHeight="true" outlineLevel="0" collapsed="false">
      <c r="A7" s="30" t="n">
        <v>46023</v>
      </c>
      <c r="B7" s="26" t="s">
        <v>111</v>
      </c>
      <c r="C7" s="26" t="n">
        <v>0</v>
      </c>
      <c r="D7" s="31" t="n">
        <f aca="false">IFERROR(C7*INDEX('Menu Pricing'!$J$5:$J$10,MATCH(B7,'Menu Pricing'!$A$5:$A$10,0)),0)</f>
        <v>0</v>
      </c>
      <c r="E7" s="31" t="n">
        <f aca="false">IFERROR(C7*INDEX('Menu Pricing'!$K$5:$K$10,MATCH(B7,'Menu Pricing'!$A$5:$A$10,0)),0)</f>
        <v>0</v>
      </c>
      <c r="F7" s="31" t="n">
        <f aca="false">IFERROR(C7*INDEX('Menu Pricing'!$M$5:$M$10,MATCH(B7,'Menu Pricing'!$A$5:$A$10,0)),0)</f>
        <v>0</v>
      </c>
    </row>
    <row r="8" customFormat="false" ht="15" hidden="false" customHeight="true" outlineLevel="0" collapsed="false">
      <c r="A8" s="30" t="n">
        <v>46023</v>
      </c>
      <c r="B8" s="26" t="s">
        <v>112</v>
      </c>
      <c r="C8" s="26" t="n">
        <v>0</v>
      </c>
      <c r="D8" s="31" t="n">
        <f aca="false">IFERROR(C8*INDEX('Menu Pricing'!$J$5:$J$10,MATCH(B8,'Menu Pricing'!$A$5:$A$10,0)),0)</f>
        <v>0</v>
      </c>
      <c r="E8" s="31" t="n">
        <f aca="false">IFERROR(C8*INDEX('Menu Pricing'!$K$5:$K$10,MATCH(B8,'Menu Pricing'!$A$5:$A$10,0)),0)</f>
        <v>0</v>
      </c>
      <c r="F8" s="31" t="n">
        <f aca="false">IFERROR(C8*INDEX('Menu Pricing'!$M$5:$M$10,MATCH(B8,'Menu Pricing'!$A$5:$A$10,0)),0)</f>
        <v>0</v>
      </c>
    </row>
    <row r="9" customFormat="false" ht="15" hidden="false" customHeight="true" outlineLevel="0" collapsed="false">
      <c r="A9" s="30" t="n">
        <v>46023</v>
      </c>
      <c r="B9" s="26" t="s">
        <v>113</v>
      </c>
      <c r="C9" s="26" t="n">
        <v>0</v>
      </c>
      <c r="D9" s="31" t="n">
        <f aca="false">IFERROR(C9*INDEX('Menu Pricing'!$J$5:$J$10,MATCH(B9,'Menu Pricing'!$A$5:$A$10,0)),0)</f>
        <v>0</v>
      </c>
      <c r="E9" s="31" t="n">
        <f aca="false">IFERROR(C9*INDEX('Menu Pricing'!$K$5:$K$10,MATCH(B9,'Menu Pricing'!$A$5:$A$10,0)),0)</f>
        <v>0</v>
      </c>
      <c r="F9" s="31" t="n">
        <f aca="false">IFERROR(C9*INDEX('Menu Pricing'!$M$5:$M$10,MATCH(B9,'Menu Pricing'!$A$5:$A$10,0)),0)</f>
        <v>0</v>
      </c>
    </row>
    <row r="10" customFormat="false" ht="15" hidden="false" customHeight="true" outlineLevel="0" collapsed="false">
      <c r="A10" s="30" t="n">
        <v>46023</v>
      </c>
      <c r="B10" s="26" t="s">
        <v>114</v>
      </c>
      <c r="C10" s="26" t="n">
        <v>0</v>
      </c>
      <c r="D10" s="31" t="n">
        <f aca="false">IFERROR(C10*INDEX('Menu Pricing'!$J$5:$J$10,MATCH(B10,'Menu Pricing'!$A$5:$A$10,0)),0)</f>
        <v>0</v>
      </c>
      <c r="E10" s="31" t="n">
        <f aca="false">IFERROR(C10*INDEX('Menu Pricing'!$K$5:$K$10,MATCH(B10,'Menu Pricing'!$A$5:$A$10,0)),0)</f>
        <v>0</v>
      </c>
      <c r="F10" s="31" t="n">
        <f aca="false">IFERROR(C10*INDEX('Menu Pricing'!$M$5:$M$10,MATCH(B10,'Menu Pricing'!$A$5:$A$10,0)),0)</f>
        <v>0</v>
      </c>
    </row>
    <row r="11" customFormat="false" ht="15" hidden="false" customHeight="true" outlineLevel="0" collapsed="false">
      <c r="A11" s="30" t="n">
        <v>46024</v>
      </c>
      <c r="B11" s="26" t="s">
        <v>109</v>
      </c>
      <c r="C11" s="26" t="n">
        <v>0</v>
      </c>
      <c r="D11" s="31" t="n">
        <f aca="false">IFERROR(C11*INDEX('Menu Pricing'!$J$5:$J$10,MATCH(B11,'Menu Pricing'!$A$5:$A$10,0)),0)</f>
        <v>0</v>
      </c>
      <c r="E11" s="31" t="n">
        <f aca="false">IFERROR(C11*INDEX('Menu Pricing'!$K$5:$K$10,MATCH(B11,'Menu Pricing'!$A$5:$A$10,0)),0)</f>
        <v>0</v>
      </c>
      <c r="F11" s="31" t="n">
        <f aca="false">IFERROR(C11*INDEX('Menu Pricing'!$M$5:$M$10,MATCH(B11,'Menu Pricing'!$A$5:$A$10,0)),0)</f>
        <v>0</v>
      </c>
    </row>
    <row r="12" customFormat="false" ht="15" hidden="false" customHeight="true" outlineLevel="0" collapsed="false">
      <c r="A12" s="30" t="n">
        <v>46024</v>
      </c>
      <c r="B12" s="26" t="s">
        <v>110</v>
      </c>
      <c r="C12" s="26" t="n">
        <v>0</v>
      </c>
      <c r="D12" s="31" t="n">
        <f aca="false">IFERROR(C12*INDEX('Menu Pricing'!$J$5:$J$10,MATCH(B12,'Menu Pricing'!$A$5:$A$10,0)),0)</f>
        <v>0</v>
      </c>
      <c r="E12" s="31" t="n">
        <f aca="false">IFERROR(C12*INDEX('Menu Pricing'!$K$5:$K$10,MATCH(B12,'Menu Pricing'!$A$5:$A$10,0)),0)</f>
        <v>0</v>
      </c>
      <c r="F12" s="31" t="n">
        <f aca="false">IFERROR(C12*INDEX('Menu Pricing'!$M$5:$M$10,MATCH(B12,'Menu Pricing'!$A$5:$A$10,0)),0)</f>
        <v>0</v>
      </c>
    </row>
    <row r="13" customFormat="false" ht="15" hidden="false" customHeight="true" outlineLevel="0" collapsed="false">
      <c r="A13" s="30" t="n">
        <v>46024</v>
      </c>
      <c r="B13" s="26" t="s">
        <v>111</v>
      </c>
      <c r="C13" s="26" t="n">
        <v>0</v>
      </c>
      <c r="D13" s="31" t="n">
        <f aca="false">IFERROR(C13*INDEX('Menu Pricing'!$J$5:$J$10,MATCH(B13,'Menu Pricing'!$A$5:$A$10,0)),0)</f>
        <v>0</v>
      </c>
      <c r="E13" s="31" t="n">
        <f aca="false">IFERROR(C13*INDEX('Menu Pricing'!$K$5:$K$10,MATCH(B13,'Menu Pricing'!$A$5:$A$10,0)),0)</f>
        <v>0</v>
      </c>
      <c r="F13" s="31" t="n">
        <f aca="false">IFERROR(C13*INDEX('Menu Pricing'!$M$5:$M$10,MATCH(B13,'Menu Pricing'!$A$5:$A$10,0)),0)</f>
        <v>0</v>
      </c>
    </row>
    <row r="14" customFormat="false" ht="15" hidden="false" customHeight="true" outlineLevel="0" collapsed="false">
      <c r="A14" s="30" t="n">
        <v>46024</v>
      </c>
      <c r="B14" s="26" t="s">
        <v>112</v>
      </c>
      <c r="C14" s="26" t="n">
        <v>0</v>
      </c>
      <c r="D14" s="31" t="n">
        <f aca="false">IFERROR(C14*INDEX('Menu Pricing'!$J$5:$J$10,MATCH(B14,'Menu Pricing'!$A$5:$A$10,0)),0)</f>
        <v>0</v>
      </c>
      <c r="E14" s="31" t="n">
        <f aca="false">IFERROR(C14*INDEX('Menu Pricing'!$K$5:$K$10,MATCH(B14,'Menu Pricing'!$A$5:$A$10,0)),0)</f>
        <v>0</v>
      </c>
      <c r="F14" s="31" t="n">
        <f aca="false">IFERROR(C14*INDEX('Menu Pricing'!$M$5:$M$10,MATCH(B14,'Menu Pricing'!$A$5:$A$10,0)),0)</f>
        <v>0</v>
      </c>
    </row>
    <row r="15" customFormat="false" ht="15" hidden="false" customHeight="true" outlineLevel="0" collapsed="false">
      <c r="A15" s="30" t="n">
        <v>46024</v>
      </c>
      <c r="B15" s="26" t="s">
        <v>113</v>
      </c>
      <c r="C15" s="26" t="n">
        <v>0</v>
      </c>
      <c r="D15" s="31" t="n">
        <f aca="false">IFERROR(C15*INDEX('Menu Pricing'!$J$5:$J$10,MATCH(B15,'Menu Pricing'!$A$5:$A$10,0)),0)</f>
        <v>0</v>
      </c>
      <c r="E15" s="31" t="n">
        <f aca="false">IFERROR(C15*INDEX('Menu Pricing'!$K$5:$K$10,MATCH(B15,'Menu Pricing'!$A$5:$A$10,0)),0)</f>
        <v>0</v>
      </c>
      <c r="F15" s="31" t="n">
        <f aca="false">IFERROR(C15*INDEX('Menu Pricing'!$M$5:$M$10,MATCH(B15,'Menu Pricing'!$A$5:$A$10,0)),0)</f>
        <v>0</v>
      </c>
    </row>
    <row r="16" customFormat="false" ht="15" hidden="false" customHeight="true" outlineLevel="0" collapsed="false">
      <c r="A16" s="30" t="n">
        <v>46024</v>
      </c>
      <c r="B16" s="26" t="s">
        <v>114</v>
      </c>
      <c r="C16" s="26" t="n">
        <v>0</v>
      </c>
      <c r="D16" s="31" t="n">
        <f aca="false">IFERROR(C16*INDEX('Menu Pricing'!$J$5:$J$10,MATCH(B16,'Menu Pricing'!$A$5:$A$10,0)),0)</f>
        <v>0</v>
      </c>
      <c r="E16" s="31" t="n">
        <f aca="false">IFERROR(C16*INDEX('Menu Pricing'!$K$5:$K$10,MATCH(B16,'Menu Pricing'!$A$5:$A$10,0)),0)</f>
        <v>0</v>
      </c>
      <c r="F16" s="31" t="n">
        <f aca="false">IFERROR(C16*INDEX('Menu Pricing'!$M$5:$M$10,MATCH(B16,'Menu Pricing'!$A$5:$A$10,0)),0)</f>
        <v>0</v>
      </c>
    </row>
    <row r="17" customFormat="false" ht="15" hidden="false" customHeight="true" outlineLevel="0" collapsed="false">
      <c r="A17" s="30" t="n">
        <v>46025</v>
      </c>
      <c r="B17" s="26" t="s">
        <v>109</v>
      </c>
      <c r="C17" s="26" t="n">
        <v>0</v>
      </c>
      <c r="D17" s="31" t="n">
        <f aca="false">IFERROR(C17*INDEX('Menu Pricing'!$J$5:$J$10,MATCH(B17,'Menu Pricing'!$A$5:$A$10,0)),0)</f>
        <v>0</v>
      </c>
      <c r="E17" s="31" t="n">
        <f aca="false">IFERROR(C17*INDEX('Menu Pricing'!$K$5:$K$10,MATCH(B17,'Menu Pricing'!$A$5:$A$10,0)),0)</f>
        <v>0</v>
      </c>
      <c r="F17" s="31" t="n">
        <f aca="false">IFERROR(C17*INDEX('Menu Pricing'!$M$5:$M$10,MATCH(B17,'Menu Pricing'!$A$5:$A$10,0)),0)</f>
        <v>0</v>
      </c>
    </row>
    <row r="18" customFormat="false" ht="15" hidden="false" customHeight="true" outlineLevel="0" collapsed="false">
      <c r="A18" s="30" t="n">
        <v>46025</v>
      </c>
      <c r="B18" s="26" t="s">
        <v>110</v>
      </c>
      <c r="C18" s="26" t="n">
        <v>0</v>
      </c>
      <c r="D18" s="31" t="n">
        <f aca="false">IFERROR(C18*INDEX('Menu Pricing'!$J$5:$J$10,MATCH(B18,'Menu Pricing'!$A$5:$A$10,0)),0)</f>
        <v>0</v>
      </c>
      <c r="E18" s="31" t="n">
        <f aca="false">IFERROR(C18*INDEX('Menu Pricing'!$K$5:$K$10,MATCH(B18,'Menu Pricing'!$A$5:$A$10,0)),0)</f>
        <v>0</v>
      </c>
      <c r="F18" s="31" t="n">
        <f aca="false">IFERROR(C18*INDEX('Menu Pricing'!$M$5:$M$10,MATCH(B18,'Menu Pricing'!$A$5:$A$10,0)),0)</f>
        <v>0</v>
      </c>
    </row>
    <row r="19" customFormat="false" ht="15" hidden="false" customHeight="true" outlineLevel="0" collapsed="false">
      <c r="A19" s="30" t="n">
        <v>46025</v>
      </c>
      <c r="B19" s="26" t="s">
        <v>111</v>
      </c>
      <c r="C19" s="26" t="n">
        <v>0</v>
      </c>
      <c r="D19" s="31" t="n">
        <f aca="false">IFERROR(C19*INDEX('Menu Pricing'!$J$5:$J$10,MATCH(B19,'Menu Pricing'!$A$5:$A$10,0)),0)</f>
        <v>0</v>
      </c>
      <c r="E19" s="31" t="n">
        <f aca="false">IFERROR(C19*INDEX('Menu Pricing'!$K$5:$K$10,MATCH(B19,'Menu Pricing'!$A$5:$A$10,0)),0)</f>
        <v>0</v>
      </c>
      <c r="F19" s="31" t="n">
        <f aca="false">IFERROR(C19*INDEX('Menu Pricing'!$M$5:$M$10,MATCH(B19,'Menu Pricing'!$A$5:$A$10,0)),0)</f>
        <v>0</v>
      </c>
    </row>
    <row r="20" customFormat="false" ht="15" hidden="false" customHeight="true" outlineLevel="0" collapsed="false">
      <c r="A20" s="30" t="n">
        <v>46025</v>
      </c>
      <c r="B20" s="26" t="s">
        <v>112</v>
      </c>
      <c r="C20" s="26" t="n">
        <v>0</v>
      </c>
      <c r="D20" s="31" t="n">
        <f aca="false">IFERROR(C20*INDEX('Menu Pricing'!$J$5:$J$10,MATCH(B20,'Menu Pricing'!$A$5:$A$10,0)),0)</f>
        <v>0</v>
      </c>
      <c r="E20" s="31" t="n">
        <f aca="false">IFERROR(C20*INDEX('Menu Pricing'!$K$5:$K$10,MATCH(B20,'Menu Pricing'!$A$5:$A$10,0)),0)</f>
        <v>0</v>
      </c>
      <c r="F20" s="31" t="n">
        <f aca="false">IFERROR(C20*INDEX('Menu Pricing'!$M$5:$M$10,MATCH(B20,'Menu Pricing'!$A$5:$A$10,0)),0)</f>
        <v>0</v>
      </c>
    </row>
    <row r="21" customFormat="false" ht="15" hidden="false" customHeight="true" outlineLevel="0" collapsed="false">
      <c r="A21" s="30" t="n">
        <v>46025</v>
      </c>
      <c r="B21" s="26" t="s">
        <v>113</v>
      </c>
      <c r="C21" s="26" t="n">
        <v>0</v>
      </c>
      <c r="D21" s="31" t="n">
        <f aca="false">IFERROR(C21*INDEX('Menu Pricing'!$J$5:$J$10,MATCH(B21,'Menu Pricing'!$A$5:$A$10,0)),0)</f>
        <v>0</v>
      </c>
      <c r="E21" s="31" t="n">
        <f aca="false">IFERROR(C21*INDEX('Menu Pricing'!$K$5:$K$10,MATCH(B21,'Menu Pricing'!$A$5:$A$10,0)),0)</f>
        <v>0</v>
      </c>
      <c r="F21" s="31" t="n">
        <f aca="false">IFERROR(C21*INDEX('Menu Pricing'!$M$5:$M$10,MATCH(B21,'Menu Pricing'!$A$5:$A$10,0)),0)</f>
        <v>0</v>
      </c>
    </row>
    <row r="22" customFormat="false" ht="15" hidden="false" customHeight="true" outlineLevel="0" collapsed="false">
      <c r="A22" s="30" t="n">
        <v>46025</v>
      </c>
      <c r="B22" s="26" t="s">
        <v>114</v>
      </c>
      <c r="C22" s="26" t="n">
        <v>0</v>
      </c>
      <c r="D22" s="31" t="n">
        <f aca="false">IFERROR(C22*INDEX('Menu Pricing'!$J$5:$J$10,MATCH(B22,'Menu Pricing'!$A$5:$A$10,0)),0)</f>
        <v>0</v>
      </c>
      <c r="E22" s="31" t="n">
        <f aca="false">IFERROR(C22*INDEX('Menu Pricing'!$K$5:$K$10,MATCH(B22,'Menu Pricing'!$A$5:$A$10,0)),0)</f>
        <v>0</v>
      </c>
      <c r="F22" s="31" t="n">
        <f aca="false">IFERROR(C22*INDEX('Menu Pricing'!$M$5:$M$10,MATCH(B22,'Menu Pricing'!$A$5:$A$10,0)),0)</f>
        <v>0</v>
      </c>
    </row>
    <row r="23" customFormat="false" ht="15" hidden="false" customHeight="true" outlineLevel="0" collapsed="false">
      <c r="A23" s="30" t="n">
        <v>46026</v>
      </c>
      <c r="B23" s="26" t="s">
        <v>109</v>
      </c>
      <c r="C23" s="26" t="n">
        <v>0</v>
      </c>
      <c r="D23" s="31" t="n">
        <f aca="false">IFERROR(C23*INDEX('Menu Pricing'!$J$5:$J$10,MATCH(B23,'Menu Pricing'!$A$5:$A$10,0)),0)</f>
        <v>0</v>
      </c>
      <c r="E23" s="31" t="n">
        <f aca="false">IFERROR(C23*INDEX('Menu Pricing'!$K$5:$K$10,MATCH(B23,'Menu Pricing'!$A$5:$A$10,0)),0)</f>
        <v>0</v>
      </c>
      <c r="F23" s="31" t="n">
        <f aca="false">IFERROR(C23*INDEX('Menu Pricing'!$M$5:$M$10,MATCH(B23,'Menu Pricing'!$A$5:$A$10,0)),0)</f>
        <v>0</v>
      </c>
    </row>
    <row r="24" customFormat="false" ht="15" hidden="false" customHeight="true" outlineLevel="0" collapsed="false">
      <c r="A24" s="30" t="n">
        <v>46026</v>
      </c>
      <c r="B24" s="26" t="s">
        <v>110</v>
      </c>
      <c r="C24" s="26" t="n">
        <v>0</v>
      </c>
      <c r="D24" s="31" t="n">
        <f aca="false">IFERROR(C24*INDEX('Menu Pricing'!$J$5:$J$10,MATCH(B24,'Menu Pricing'!$A$5:$A$10,0)),0)</f>
        <v>0</v>
      </c>
      <c r="E24" s="31" t="n">
        <f aca="false">IFERROR(C24*INDEX('Menu Pricing'!$K$5:$K$10,MATCH(B24,'Menu Pricing'!$A$5:$A$10,0)),0)</f>
        <v>0</v>
      </c>
      <c r="F24" s="31" t="n">
        <f aca="false">IFERROR(C24*INDEX('Menu Pricing'!$M$5:$M$10,MATCH(B24,'Menu Pricing'!$A$5:$A$10,0)),0)</f>
        <v>0</v>
      </c>
    </row>
    <row r="25" customFormat="false" ht="15" hidden="false" customHeight="true" outlineLevel="0" collapsed="false">
      <c r="A25" s="30" t="n">
        <v>46026</v>
      </c>
      <c r="B25" s="26" t="s">
        <v>111</v>
      </c>
      <c r="C25" s="26" t="n">
        <v>0</v>
      </c>
      <c r="D25" s="31" t="n">
        <f aca="false">IFERROR(C25*INDEX('Menu Pricing'!$J$5:$J$10,MATCH(B25,'Menu Pricing'!$A$5:$A$10,0)),0)</f>
        <v>0</v>
      </c>
      <c r="E25" s="31" t="n">
        <f aca="false">IFERROR(C25*INDEX('Menu Pricing'!$K$5:$K$10,MATCH(B25,'Menu Pricing'!$A$5:$A$10,0)),0)</f>
        <v>0</v>
      </c>
      <c r="F25" s="31" t="n">
        <f aca="false">IFERROR(C25*INDEX('Menu Pricing'!$M$5:$M$10,MATCH(B25,'Menu Pricing'!$A$5:$A$10,0)),0)</f>
        <v>0</v>
      </c>
    </row>
    <row r="26" customFormat="false" ht="15" hidden="false" customHeight="true" outlineLevel="0" collapsed="false">
      <c r="A26" s="30" t="n">
        <v>46026</v>
      </c>
      <c r="B26" s="26" t="s">
        <v>112</v>
      </c>
      <c r="C26" s="26" t="n">
        <v>0</v>
      </c>
      <c r="D26" s="31" t="n">
        <f aca="false">IFERROR(C26*INDEX('Menu Pricing'!$J$5:$J$10,MATCH(B26,'Menu Pricing'!$A$5:$A$10,0)),0)</f>
        <v>0</v>
      </c>
      <c r="E26" s="31" t="n">
        <f aca="false">IFERROR(C26*INDEX('Menu Pricing'!$K$5:$K$10,MATCH(B26,'Menu Pricing'!$A$5:$A$10,0)),0)</f>
        <v>0</v>
      </c>
      <c r="F26" s="31" t="n">
        <f aca="false">IFERROR(C26*INDEX('Menu Pricing'!$M$5:$M$10,MATCH(B26,'Menu Pricing'!$A$5:$A$10,0)),0)</f>
        <v>0</v>
      </c>
    </row>
    <row r="27" customFormat="false" ht="15" hidden="false" customHeight="true" outlineLevel="0" collapsed="false">
      <c r="A27" s="30" t="n">
        <v>46026</v>
      </c>
      <c r="B27" s="26" t="s">
        <v>113</v>
      </c>
      <c r="C27" s="26" t="n">
        <v>0</v>
      </c>
      <c r="D27" s="31" t="n">
        <f aca="false">IFERROR(C27*INDEX('Menu Pricing'!$J$5:$J$10,MATCH(B27,'Menu Pricing'!$A$5:$A$10,0)),0)</f>
        <v>0</v>
      </c>
      <c r="E27" s="31" t="n">
        <f aca="false">IFERROR(C27*INDEX('Menu Pricing'!$K$5:$K$10,MATCH(B27,'Menu Pricing'!$A$5:$A$10,0)),0)</f>
        <v>0</v>
      </c>
      <c r="F27" s="31" t="n">
        <f aca="false">IFERROR(C27*INDEX('Menu Pricing'!$M$5:$M$10,MATCH(B27,'Menu Pricing'!$A$5:$A$10,0)),0)</f>
        <v>0</v>
      </c>
    </row>
    <row r="28" customFormat="false" ht="15" hidden="false" customHeight="true" outlineLevel="0" collapsed="false">
      <c r="A28" s="30" t="n">
        <v>46026</v>
      </c>
      <c r="B28" s="26" t="s">
        <v>114</v>
      </c>
      <c r="C28" s="26" t="n">
        <v>0</v>
      </c>
      <c r="D28" s="31" t="n">
        <f aca="false">IFERROR(C28*INDEX('Menu Pricing'!$J$5:$J$10,MATCH(B28,'Menu Pricing'!$A$5:$A$10,0)),0)</f>
        <v>0</v>
      </c>
      <c r="E28" s="31" t="n">
        <f aca="false">IFERROR(C28*INDEX('Menu Pricing'!$K$5:$K$10,MATCH(B28,'Menu Pricing'!$A$5:$A$10,0)),0)</f>
        <v>0</v>
      </c>
      <c r="F28" s="31" t="n">
        <f aca="false">IFERROR(C28*INDEX('Menu Pricing'!$M$5:$M$10,MATCH(B28,'Menu Pricing'!$A$5:$A$10,0)),0)</f>
        <v>0</v>
      </c>
    </row>
    <row r="29" customFormat="false" ht="15" hidden="false" customHeight="true" outlineLevel="0" collapsed="false">
      <c r="A29" s="30" t="n">
        <v>46027</v>
      </c>
      <c r="B29" s="26" t="s">
        <v>109</v>
      </c>
      <c r="C29" s="26" t="n">
        <v>0</v>
      </c>
      <c r="D29" s="31" t="n">
        <f aca="false">IFERROR(C29*INDEX('Menu Pricing'!$J$5:$J$10,MATCH(B29,'Menu Pricing'!$A$5:$A$10,0)),0)</f>
        <v>0</v>
      </c>
      <c r="E29" s="31" t="n">
        <f aca="false">IFERROR(C29*INDEX('Menu Pricing'!$K$5:$K$10,MATCH(B29,'Menu Pricing'!$A$5:$A$10,0)),0)</f>
        <v>0</v>
      </c>
      <c r="F29" s="31" t="n">
        <f aca="false">IFERROR(C29*INDEX('Menu Pricing'!$M$5:$M$10,MATCH(B29,'Menu Pricing'!$A$5:$A$10,0)),0)</f>
        <v>0</v>
      </c>
    </row>
    <row r="30" customFormat="false" ht="15" hidden="false" customHeight="true" outlineLevel="0" collapsed="false">
      <c r="A30" s="30" t="n">
        <v>46027</v>
      </c>
      <c r="B30" s="26" t="s">
        <v>110</v>
      </c>
      <c r="C30" s="26" t="n">
        <v>0</v>
      </c>
      <c r="D30" s="31" t="n">
        <f aca="false">IFERROR(C30*INDEX('Menu Pricing'!$J$5:$J$10,MATCH(B30,'Menu Pricing'!$A$5:$A$10,0)),0)</f>
        <v>0</v>
      </c>
      <c r="E30" s="31" t="n">
        <f aca="false">IFERROR(C30*INDEX('Menu Pricing'!$K$5:$K$10,MATCH(B30,'Menu Pricing'!$A$5:$A$10,0)),0)</f>
        <v>0</v>
      </c>
      <c r="F30" s="31" t="n">
        <f aca="false">IFERROR(C30*INDEX('Menu Pricing'!$M$5:$M$10,MATCH(B30,'Menu Pricing'!$A$5:$A$10,0)),0)</f>
        <v>0</v>
      </c>
    </row>
    <row r="31" customFormat="false" ht="15" hidden="false" customHeight="true" outlineLevel="0" collapsed="false">
      <c r="A31" s="30" t="n">
        <v>46027</v>
      </c>
      <c r="B31" s="26" t="s">
        <v>111</v>
      </c>
      <c r="C31" s="26" t="n">
        <v>0</v>
      </c>
      <c r="D31" s="31" t="n">
        <f aca="false">IFERROR(C31*INDEX('Menu Pricing'!$J$5:$J$10,MATCH(B31,'Menu Pricing'!$A$5:$A$10,0)),0)</f>
        <v>0</v>
      </c>
      <c r="E31" s="31" t="n">
        <f aca="false">IFERROR(C31*INDEX('Menu Pricing'!$K$5:$K$10,MATCH(B31,'Menu Pricing'!$A$5:$A$10,0)),0)</f>
        <v>0</v>
      </c>
      <c r="F31" s="31" t="n">
        <f aca="false">IFERROR(C31*INDEX('Menu Pricing'!$M$5:$M$10,MATCH(B31,'Menu Pricing'!$A$5:$A$10,0)),0)</f>
        <v>0</v>
      </c>
    </row>
    <row r="32" customFormat="false" ht="15" hidden="false" customHeight="true" outlineLevel="0" collapsed="false">
      <c r="A32" s="30" t="n">
        <v>46027</v>
      </c>
      <c r="B32" s="26" t="s">
        <v>112</v>
      </c>
      <c r="C32" s="26" t="n">
        <v>0</v>
      </c>
      <c r="D32" s="31" t="n">
        <f aca="false">IFERROR(C32*INDEX('Menu Pricing'!$J$5:$J$10,MATCH(B32,'Menu Pricing'!$A$5:$A$10,0)),0)</f>
        <v>0</v>
      </c>
      <c r="E32" s="31" t="n">
        <f aca="false">IFERROR(C32*INDEX('Menu Pricing'!$K$5:$K$10,MATCH(B32,'Menu Pricing'!$A$5:$A$10,0)),0)</f>
        <v>0</v>
      </c>
      <c r="F32" s="31" t="n">
        <f aca="false">IFERROR(C32*INDEX('Menu Pricing'!$M$5:$M$10,MATCH(B32,'Menu Pricing'!$A$5:$A$10,0)),0)</f>
        <v>0</v>
      </c>
    </row>
    <row r="33" customFormat="false" ht="15" hidden="false" customHeight="true" outlineLevel="0" collapsed="false">
      <c r="A33" s="30" t="n">
        <v>46027</v>
      </c>
      <c r="B33" s="26" t="s">
        <v>113</v>
      </c>
      <c r="C33" s="26" t="n">
        <v>0</v>
      </c>
      <c r="D33" s="31" t="n">
        <f aca="false">IFERROR(C33*INDEX('Menu Pricing'!$J$5:$J$10,MATCH(B33,'Menu Pricing'!$A$5:$A$10,0)),0)</f>
        <v>0</v>
      </c>
      <c r="E33" s="31" t="n">
        <f aca="false">IFERROR(C33*INDEX('Menu Pricing'!$K$5:$K$10,MATCH(B33,'Menu Pricing'!$A$5:$A$10,0)),0)</f>
        <v>0</v>
      </c>
      <c r="F33" s="31" t="n">
        <f aca="false">IFERROR(C33*INDEX('Menu Pricing'!$M$5:$M$10,MATCH(B33,'Menu Pricing'!$A$5:$A$10,0)),0)</f>
        <v>0</v>
      </c>
    </row>
    <row r="34" customFormat="false" ht="15" hidden="false" customHeight="true" outlineLevel="0" collapsed="false">
      <c r="A34" s="30" t="n">
        <v>46027</v>
      </c>
      <c r="B34" s="26" t="s">
        <v>114</v>
      </c>
      <c r="C34" s="26" t="n">
        <v>0</v>
      </c>
      <c r="D34" s="31" t="n">
        <f aca="false">IFERROR(C34*INDEX('Menu Pricing'!$J$5:$J$10,MATCH(B34,'Menu Pricing'!$A$5:$A$10,0)),0)</f>
        <v>0</v>
      </c>
      <c r="E34" s="31" t="n">
        <f aca="false">IFERROR(C34*INDEX('Menu Pricing'!$K$5:$K$10,MATCH(B34,'Menu Pricing'!$A$5:$A$10,0)),0)</f>
        <v>0</v>
      </c>
      <c r="F34" s="31" t="n">
        <f aca="false">IFERROR(C34*INDEX('Menu Pricing'!$M$5:$M$10,MATCH(B34,'Menu Pricing'!$A$5:$A$10,0)),0)</f>
        <v>0</v>
      </c>
    </row>
    <row r="35" customFormat="false" ht="15" hidden="false" customHeight="true" outlineLevel="0" collapsed="false">
      <c r="A35" s="30" t="n">
        <v>46028</v>
      </c>
      <c r="B35" s="26" t="s">
        <v>109</v>
      </c>
      <c r="C35" s="26" t="n">
        <v>0</v>
      </c>
      <c r="D35" s="31" t="n">
        <f aca="false">IFERROR(C35*INDEX('Menu Pricing'!$J$5:$J$10,MATCH(B35,'Menu Pricing'!$A$5:$A$10,0)),0)</f>
        <v>0</v>
      </c>
      <c r="E35" s="31" t="n">
        <f aca="false">IFERROR(C35*INDEX('Menu Pricing'!$K$5:$K$10,MATCH(B35,'Menu Pricing'!$A$5:$A$10,0)),0)</f>
        <v>0</v>
      </c>
      <c r="F35" s="31" t="n">
        <f aca="false">IFERROR(C35*INDEX('Menu Pricing'!$M$5:$M$10,MATCH(B35,'Menu Pricing'!$A$5:$A$10,0)),0)</f>
        <v>0</v>
      </c>
    </row>
    <row r="36" customFormat="false" ht="15" hidden="false" customHeight="true" outlineLevel="0" collapsed="false">
      <c r="A36" s="30" t="n">
        <v>46028</v>
      </c>
      <c r="B36" s="26" t="s">
        <v>110</v>
      </c>
      <c r="C36" s="26" t="n">
        <v>0</v>
      </c>
      <c r="D36" s="31" t="n">
        <f aca="false">IFERROR(C36*INDEX('Menu Pricing'!$J$5:$J$10,MATCH(B36,'Menu Pricing'!$A$5:$A$10,0)),0)</f>
        <v>0</v>
      </c>
      <c r="E36" s="31" t="n">
        <f aca="false">IFERROR(C36*INDEX('Menu Pricing'!$K$5:$K$10,MATCH(B36,'Menu Pricing'!$A$5:$A$10,0)),0)</f>
        <v>0</v>
      </c>
      <c r="F36" s="31" t="n">
        <f aca="false">IFERROR(C36*INDEX('Menu Pricing'!$M$5:$M$10,MATCH(B36,'Menu Pricing'!$A$5:$A$10,0)),0)</f>
        <v>0</v>
      </c>
    </row>
    <row r="37" customFormat="false" ht="15" hidden="false" customHeight="true" outlineLevel="0" collapsed="false">
      <c r="A37" s="30" t="n">
        <v>46028</v>
      </c>
      <c r="B37" s="26" t="s">
        <v>111</v>
      </c>
      <c r="C37" s="26" t="n">
        <v>0</v>
      </c>
      <c r="D37" s="31" t="n">
        <f aca="false">IFERROR(C37*INDEX('Menu Pricing'!$J$5:$J$10,MATCH(B37,'Menu Pricing'!$A$5:$A$10,0)),0)</f>
        <v>0</v>
      </c>
      <c r="E37" s="31" t="n">
        <f aca="false">IFERROR(C37*INDEX('Menu Pricing'!$K$5:$K$10,MATCH(B37,'Menu Pricing'!$A$5:$A$10,0)),0)</f>
        <v>0</v>
      </c>
      <c r="F37" s="31" t="n">
        <f aca="false">IFERROR(C37*INDEX('Menu Pricing'!$M$5:$M$10,MATCH(B37,'Menu Pricing'!$A$5:$A$10,0)),0)</f>
        <v>0</v>
      </c>
    </row>
    <row r="38" customFormat="false" ht="15" hidden="false" customHeight="true" outlineLevel="0" collapsed="false">
      <c r="A38" s="30" t="n">
        <v>46028</v>
      </c>
      <c r="B38" s="26" t="s">
        <v>112</v>
      </c>
      <c r="C38" s="26" t="n">
        <v>0</v>
      </c>
      <c r="D38" s="31" t="n">
        <f aca="false">IFERROR(C38*INDEX('Menu Pricing'!$J$5:$J$10,MATCH(B38,'Menu Pricing'!$A$5:$A$10,0)),0)</f>
        <v>0</v>
      </c>
      <c r="E38" s="31" t="n">
        <f aca="false">IFERROR(C38*INDEX('Menu Pricing'!$K$5:$K$10,MATCH(B38,'Menu Pricing'!$A$5:$A$10,0)),0)</f>
        <v>0</v>
      </c>
      <c r="F38" s="31" t="n">
        <f aca="false">IFERROR(C38*INDEX('Menu Pricing'!$M$5:$M$10,MATCH(B38,'Menu Pricing'!$A$5:$A$10,0)),0)</f>
        <v>0</v>
      </c>
    </row>
    <row r="39" customFormat="false" ht="15" hidden="false" customHeight="true" outlineLevel="0" collapsed="false">
      <c r="A39" s="30" t="n">
        <v>46028</v>
      </c>
      <c r="B39" s="26" t="s">
        <v>113</v>
      </c>
      <c r="C39" s="26" t="n">
        <v>0</v>
      </c>
      <c r="D39" s="31" t="n">
        <f aca="false">IFERROR(C39*INDEX('Menu Pricing'!$J$5:$J$10,MATCH(B39,'Menu Pricing'!$A$5:$A$10,0)),0)</f>
        <v>0</v>
      </c>
      <c r="E39" s="31" t="n">
        <f aca="false">IFERROR(C39*INDEX('Menu Pricing'!$K$5:$K$10,MATCH(B39,'Menu Pricing'!$A$5:$A$10,0)),0)</f>
        <v>0</v>
      </c>
      <c r="F39" s="31" t="n">
        <f aca="false">IFERROR(C39*INDEX('Menu Pricing'!$M$5:$M$10,MATCH(B39,'Menu Pricing'!$A$5:$A$10,0)),0)</f>
        <v>0</v>
      </c>
    </row>
    <row r="40" customFormat="false" ht="15" hidden="false" customHeight="true" outlineLevel="0" collapsed="false">
      <c r="A40" s="30" t="n">
        <v>46028</v>
      </c>
      <c r="B40" s="26" t="s">
        <v>114</v>
      </c>
      <c r="C40" s="26" t="n">
        <v>0</v>
      </c>
      <c r="D40" s="31" t="n">
        <f aca="false">IFERROR(C40*INDEX('Menu Pricing'!$J$5:$J$10,MATCH(B40,'Menu Pricing'!$A$5:$A$10,0)),0)</f>
        <v>0</v>
      </c>
      <c r="E40" s="31" t="n">
        <f aca="false">IFERROR(C40*INDEX('Menu Pricing'!$K$5:$K$10,MATCH(B40,'Menu Pricing'!$A$5:$A$10,0)),0)</f>
        <v>0</v>
      </c>
      <c r="F40" s="31" t="n">
        <f aca="false">IFERROR(C40*INDEX('Menu Pricing'!$M$5:$M$10,MATCH(B40,'Menu Pricing'!$A$5:$A$10,0)),0)</f>
        <v>0</v>
      </c>
    </row>
    <row r="41" customFormat="false" ht="15" hidden="false" customHeight="true" outlineLevel="0" collapsed="false">
      <c r="A41" s="30" t="n">
        <v>46029</v>
      </c>
      <c r="B41" s="26" t="s">
        <v>109</v>
      </c>
      <c r="C41" s="26" t="n">
        <v>0</v>
      </c>
      <c r="D41" s="31" t="n">
        <f aca="false">IFERROR(C41*INDEX('Menu Pricing'!$J$5:$J$10,MATCH(B41,'Menu Pricing'!$A$5:$A$10,0)),0)</f>
        <v>0</v>
      </c>
      <c r="E41" s="31" t="n">
        <f aca="false">IFERROR(C41*INDEX('Menu Pricing'!$K$5:$K$10,MATCH(B41,'Menu Pricing'!$A$5:$A$10,0)),0)</f>
        <v>0</v>
      </c>
      <c r="F41" s="31" t="n">
        <f aca="false">IFERROR(C41*INDEX('Menu Pricing'!$M$5:$M$10,MATCH(B41,'Menu Pricing'!$A$5:$A$10,0)),0)</f>
        <v>0</v>
      </c>
    </row>
    <row r="42" customFormat="false" ht="15" hidden="false" customHeight="true" outlineLevel="0" collapsed="false">
      <c r="A42" s="30" t="n">
        <v>46029</v>
      </c>
      <c r="B42" s="26" t="s">
        <v>110</v>
      </c>
      <c r="C42" s="26" t="n">
        <v>0</v>
      </c>
      <c r="D42" s="31" t="n">
        <f aca="false">IFERROR(C42*INDEX('Menu Pricing'!$J$5:$J$10,MATCH(B42,'Menu Pricing'!$A$5:$A$10,0)),0)</f>
        <v>0</v>
      </c>
      <c r="E42" s="31" t="n">
        <f aca="false">IFERROR(C42*INDEX('Menu Pricing'!$K$5:$K$10,MATCH(B42,'Menu Pricing'!$A$5:$A$10,0)),0)</f>
        <v>0</v>
      </c>
      <c r="F42" s="31" t="n">
        <f aca="false">IFERROR(C42*INDEX('Menu Pricing'!$M$5:$M$10,MATCH(B42,'Menu Pricing'!$A$5:$A$10,0)),0)</f>
        <v>0</v>
      </c>
    </row>
    <row r="43" customFormat="false" ht="15" hidden="false" customHeight="true" outlineLevel="0" collapsed="false">
      <c r="A43" s="30" t="n">
        <v>46029</v>
      </c>
      <c r="B43" s="26" t="s">
        <v>111</v>
      </c>
      <c r="C43" s="26" t="n">
        <v>0</v>
      </c>
      <c r="D43" s="31" t="n">
        <f aca="false">IFERROR(C43*INDEX('Menu Pricing'!$J$5:$J$10,MATCH(B43,'Menu Pricing'!$A$5:$A$10,0)),0)</f>
        <v>0</v>
      </c>
      <c r="E43" s="31" t="n">
        <f aca="false">IFERROR(C43*INDEX('Menu Pricing'!$K$5:$K$10,MATCH(B43,'Menu Pricing'!$A$5:$A$10,0)),0)</f>
        <v>0</v>
      </c>
      <c r="F43" s="31" t="n">
        <f aca="false">IFERROR(C43*INDEX('Menu Pricing'!$M$5:$M$10,MATCH(B43,'Menu Pricing'!$A$5:$A$10,0)),0)</f>
        <v>0</v>
      </c>
    </row>
    <row r="44" customFormat="false" ht="15" hidden="false" customHeight="true" outlineLevel="0" collapsed="false">
      <c r="A44" s="30" t="n">
        <v>46029</v>
      </c>
      <c r="B44" s="26" t="s">
        <v>112</v>
      </c>
      <c r="C44" s="26" t="n">
        <v>0</v>
      </c>
      <c r="D44" s="31" t="n">
        <f aca="false">IFERROR(C44*INDEX('Menu Pricing'!$J$5:$J$10,MATCH(B44,'Menu Pricing'!$A$5:$A$10,0)),0)</f>
        <v>0</v>
      </c>
      <c r="E44" s="31" t="n">
        <f aca="false">IFERROR(C44*INDEX('Menu Pricing'!$K$5:$K$10,MATCH(B44,'Menu Pricing'!$A$5:$A$10,0)),0)</f>
        <v>0</v>
      </c>
      <c r="F44" s="31" t="n">
        <f aca="false">IFERROR(C44*INDEX('Menu Pricing'!$M$5:$M$10,MATCH(B44,'Menu Pricing'!$A$5:$A$10,0)),0)</f>
        <v>0</v>
      </c>
    </row>
    <row r="45" customFormat="false" ht="15" hidden="false" customHeight="true" outlineLevel="0" collapsed="false">
      <c r="A45" s="30" t="n">
        <v>46029</v>
      </c>
      <c r="B45" s="26" t="s">
        <v>113</v>
      </c>
      <c r="C45" s="26" t="n">
        <v>0</v>
      </c>
      <c r="D45" s="31" t="n">
        <f aca="false">IFERROR(C45*INDEX('Menu Pricing'!$J$5:$J$10,MATCH(B45,'Menu Pricing'!$A$5:$A$10,0)),0)</f>
        <v>0</v>
      </c>
      <c r="E45" s="31" t="n">
        <f aca="false">IFERROR(C45*INDEX('Menu Pricing'!$K$5:$K$10,MATCH(B45,'Menu Pricing'!$A$5:$A$10,0)),0)</f>
        <v>0</v>
      </c>
      <c r="F45" s="31" t="n">
        <f aca="false">IFERROR(C45*INDEX('Menu Pricing'!$M$5:$M$10,MATCH(B45,'Menu Pricing'!$A$5:$A$10,0)),0)</f>
        <v>0</v>
      </c>
    </row>
    <row r="46" customFormat="false" ht="15" hidden="false" customHeight="true" outlineLevel="0" collapsed="false">
      <c r="A46" s="30" t="n">
        <v>46029</v>
      </c>
      <c r="B46" s="26" t="s">
        <v>114</v>
      </c>
      <c r="C46" s="26" t="n">
        <v>0</v>
      </c>
      <c r="D46" s="31" t="n">
        <f aca="false">IFERROR(C46*INDEX('Menu Pricing'!$J$5:$J$10,MATCH(B46,'Menu Pricing'!$A$5:$A$10,0)),0)</f>
        <v>0</v>
      </c>
      <c r="E46" s="31" t="n">
        <f aca="false">IFERROR(C46*INDEX('Menu Pricing'!$K$5:$K$10,MATCH(B46,'Menu Pricing'!$A$5:$A$10,0)),0)</f>
        <v>0</v>
      </c>
      <c r="F46" s="31" t="n">
        <f aca="false">IFERROR(C46*INDEX('Menu Pricing'!$M$5:$M$10,MATCH(B46,'Menu Pricing'!$A$5:$A$10,0)),0)</f>
        <v>0</v>
      </c>
    </row>
    <row r="47" customFormat="false" ht="15" hidden="false" customHeight="true" outlineLevel="0" collapsed="false">
      <c r="A47" s="30" t="n">
        <v>46030</v>
      </c>
      <c r="B47" s="26" t="s">
        <v>109</v>
      </c>
      <c r="C47" s="26" t="n">
        <v>0</v>
      </c>
      <c r="D47" s="31" t="n">
        <f aca="false">IFERROR(C47*INDEX('Menu Pricing'!$J$5:$J$10,MATCH(B47,'Menu Pricing'!$A$5:$A$10,0)),0)</f>
        <v>0</v>
      </c>
      <c r="E47" s="31" t="n">
        <f aca="false">IFERROR(C47*INDEX('Menu Pricing'!$K$5:$K$10,MATCH(B47,'Menu Pricing'!$A$5:$A$10,0)),0)</f>
        <v>0</v>
      </c>
      <c r="F47" s="31" t="n">
        <f aca="false">IFERROR(C47*INDEX('Menu Pricing'!$M$5:$M$10,MATCH(B47,'Menu Pricing'!$A$5:$A$10,0)),0)</f>
        <v>0</v>
      </c>
    </row>
    <row r="48" customFormat="false" ht="15" hidden="false" customHeight="true" outlineLevel="0" collapsed="false">
      <c r="A48" s="30" t="n">
        <v>46030</v>
      </c>
      <c r="B48" s="26" t="s">
        <v>110</v>
      </c>
      <c r="C48" s="26" t="n">
        <v>0</v>
      </c>
      <c r="D48" s="31" t="n">
        <f aca="false">IFERROR(C48*INDEX('Menu Pricing'!$J$5:$J$10,MATCH(B48,'Menu Pricing'!$A$5:$A$10,0)),0)</f>
        <v>0</v>
      </c>
      <c r="E48" s="31" t="n">
        <f aca="false">IFERROR(C48*INDEX('Menu Pricing'!$K$5:$K$10,MATCH(B48,'Menu Pricing'!$A$5:$A$10,0)),0)</f>
        <v>0</v>
      </c>
      <c r="F48" s="31" t="n">
        <f aca="false">IFERROR(C48*INDEX('Menu Pricing'!$M$5:$M$10,MATCH(B48,'Menu Pricing'!$A$5:$A$10,0)),0)</f>
        <v>0</v>
      </c>
    </row>
    <row r="49" customFormat="false" ht="15" hidden="false" customHeight="true" outlineLevel="0" collapsed="false">
      <c r="A49" s="30" t="n">
        <v>46030</v>
      </c>
      <c r="B49" s="26" t="s">
        <v>111</v>
      </c>
      <c r="C49" s="26" t="n">
        <v>0</v>
      </c>
      <c r="D49" s="31" t="n">
        <f aca="false">IFERROR(C49*INDEX('Menu Pricing'!$J$5:$J$10,MATCH(B49,'Menu Pricing'!$A$5:$A$10,0)),0)</f>
        <v>0</v>
      </c>
      <c r="E49" s="31" t="n">
        <f aca="false">IFERROR(C49*INDEX('Menu Pricing'!$K$5:$K$10,MATCH(B49,'Menu Pricing'!$A$5:$A$10,0)),0)</f>
        <v>0</v>
      </c>
      <c r="F49" s="31" t="n">
        <f aca="false">IFERROR(C49*INDEX('Menu Pricing'!$M$5:$M$10,MATCH(B49,'Menu Pricing'!$A$5:$A$10,0)),0)</f>
        <v>0</v>
      </c>
    </row>
    <row r="50" customFormat="false" ht="15" hidden="false" customHeight="true" outlineLevel="0" collapsed="false">
      <c r="A50" s="30" t="n">
        <v>46030</v>
      </c>
      <c r="B50" s="26" t="s">
        <v>112</v>
      </c>
      <c r="C50" s="26" t="n">
        <v>0</v>
      </c>
      <c r="D50" s="31" t="n">
        <f aca="false">IFERROR(C50*INDEX('Menu Pricing'!$J$5:$J$10,MATCH(B50,'Menu Pricing'!$A$5:$A$10,0)),0)</f>
        <v>0</v>
      </c>
      <c r="E50" s="31" t="n">
        <f aca="false">IFERROR(C50*INDEX('Menu Pricing'!$K$5:$K$10,MATCH(B50,'Menu Pricing'!$A$5:$A$10,0)),0)</f>
        <v>0</v>
      </c>
      <c r="F50" s="31" t="n">
        <f aca="false">IFERROR(C50*INDEX('Menu Pricing'!$M$5:$M$10,MATCH(B50,'Menu Pricing'!$A$5:$A$10,0)),0)</f>
        <v>0</v>
      </c>
    </row>
    <row r="51" customFormat="false" ht="15" hidden="false" customHeight="true" outlineLevel="0" collapsed="false">
      <c r="A51" s="30" t="n">
        <v>46030</v>
      </c>
      <c r="B51" s="26" t="s">
        <v>113</v>
      </c>
      <c r="C51" s="26" t="n">
        <v>0</v>
      </c>
      <c r="D51" s="31" t="n">
        <f aca="false">IFERROR(C51*INDEX('Menu Pricing'!$J$5:$J$10,MATCH(B51,'Menu Pricing'!$A$5:$A$10,0)),0)</f>
        <v>0</v>
      </c>
      <c r="E51" s="31" t="n">
        <f aca="false">IFERROR(C51*INDEX('Menu Pricing'!$K$5:$K$10,MATCH(B51,'Menu Pricing'!$A$5:$A$10,0)),0)</f>
        <v>0</v>
      </c>
      <c r="F51" s="31" t="n">
        <f aca="false">IFERROR(C51*INDEX('Menu Pricing'!$M$5:$M$10,MATCH(B51,'Menu Pricing'!$A$5:$A$10,0)),0)</f>
        <v>0</v>
      </c>
    </row>
    <row r="52" customFormat="false" ht="15" hidden="false" customHeight="true" outlineLevel="0" collapsed="false">
      <c r="A52" s="30" t="n">
        <v>46030</v>
      </c>
      <c r="B52" s="26" t="s">
        <v>114</v>
      </c>
      <c r="C52" s="26" t="n">
        <v>0</v>
      </c>
      <c r="D52" s="31" t="n">
        <f aca="false">IFERROR(C52*INDEX('Menu Pricing'!$J$5:$J$10,MATCH(B52,'Menu Pricing'!$A$5:$A$10,0)),0)</f>
        <v>0</v>
      </c>
      <c r="E52" s="31" t="n">
        <f aca="false">IFERROR(C52*INDEX('Menu Pricing'!$K$5:$K$10,MATCH(B52,'Menu Pricing'!$A$5:$A$10,0)),0)</f>
        <v>0</v>
      </c>
      <c r="F52" s="31" t="n">
        <f aca="false">IFERROR(C52*INDEX('Menu Pricing'!$M$5:$M$10,MATCH(B52,'Menu Pricing'!$A$5:$A$10,0)),0)</f>
        <v>0</v>
      </c>
    </row>
    <row r="53" customFormat="false" ht="15" hidden="false" customHeight="true" outlineLevel="0" collapsed="false">
      <c r="A53" s="30" t="n">
        <v>46031</v>
      </c>
      <c r="B53" s="26" t="s">
        <v>109</v>
      </c>
      <c r="C53" s="26" t="n">
        <v>0</v>
      </c>
      <c r="D53" s="31" t="n">
        <f aca="false">IFERROR(C53*INDEX('Menu Pricing'!$J$5:$J$10,MATCH(B53,'Menu Pricing'!$A$5:$A$10,0)),0)</f>
        <v>0</v>
      </c>
      <c r="E53" s="31" t="n">
        <f aca="false">IFERROR(C53*INDEX('Menu Pricing'!$K$5:$K$10,MATCH(B53,'Menu Pricing'!$A$5:$A$10,0)),0)</f>
        <v>0</v>
      </c>
      <c r="F53" s="31" t="n">
        <f aca="false">IFERROR(C53*INDEX('Menu Pricing'!$M$5:$M$10,MATCH(B53,'Menu Pricing'!$A$5:$A$10,0)),0)</f>
        <v>0</v>
      </c>
    </row>
    <row r="54" customFormat="false" ht="15" hidden="false" customHeight="true" outlineLevel="0" collapsed="false">
      <c r="A54" s="30" t="n">
        <v>46031</v>
      </c>
      <c r="B54" s="26" t="s">
        <v>110</v>
      </c>
      <c r="C54" s="26" t="n">
        <v>0</v>
      </c>
      <c r="D54" s="31" t="n">
        <f aca="false">IFERROR(C54*INDEX('Menu Pricing'!$J$5:$J$10,MATCH(B54,'Menu Pricing'!$A$5:$A$10,0)),0)</f>
        <v>0</v>
      </c>
      <c r="E54" s="31" t="n">
        <f aca="false">IFERROR(C54*INDEX('Menu Pricing'!$K$5:$K$10,MATCH(B54,'Menu Pricing'!$A$5:$A$10,0)),0)</f>
        <v>0</v>
      </c>
      <c r="F54" s="31" t="n">
        <f aca="false">IFERROR(C54*INDEX('Menu Pricing'!$M$5:$M$10,MATCH(B54,'Menu Pricing'!$A$5:$A$10,0)),0)</f>
        <v>0</v>
      </c>
    </row>
    <row r="55" customFormat="false" ht="15" hidden="false" customHeight="true" outlineLevel="0" collapsed="false">
      <c r="A55" s="30" t="n">
        <v>46031</v>
      </c>
      <c r="B55" s="26" t="s">
        <v>111</v>
      </c>
      <c r="C55" s="26" t="n">
        <v>0</v>
      </c>
      <c r="D55" s="31" t="n">
        <f aca="false">IFERROR(C55*INDEX('Menu Pricing'!$J$5:$J$10,MATCH(B55,'Menu Pricing'!$A$5:$A$10,0)),0)</f>
        <v>0</v>
      </c>
      <c r="E55" s="31" t="n">
        <f aca="false">IFERROR(C55*INDEX('Menu Pricing'!$K$5:$K$10,MATCH(B55,'Menu Pricing'!$A$5:$A$10,0)),0)</f>
        <v>0</v>
      </c>
      <c r="F55" s="31" t="n">
        <f aca="false">IFERROR(C55*INDEX('Menu Pricing'!$M$5:$M$10,MATCH(B55,'Menu Pricing'!$A$5:$A$10,0)),0)</f>
        <v>0</v>
      </c>
    </row>
    <row r="56" customFormat="false" ht="15" hidden="false" customHeight="true" outlineLevel="0" collapsed="false">
      <c r="A56" s="30" t="n">
        <v>46031</v>
      </c>
      <c r="B56" s="26" t="s">
        <v>112</v>
      </c>
      <c r="C56" s="26" t="n">
        <v>0</v>
      </c>
      <c r="D56" s="31" t="n">
        <f aca="false">IFERROR(C56*INDEX('Menu Pricing'!$J$5:$J$10,MATCH(B56,'Menu Pricing'!$A$5:$A$10,0)),0)</f>
        <v>0</v>
      </c>
      <c r="E56" s="31" t="n">
        <f aca="false">IFERROR(C56*INDEX('Menu Pricing'!$K$5:$K$10,MATCH(B56,'Menu Pricing'!$A$5:$A$10,0)),0)</f>
        <v>0</v>
      </c>
      <c r="F56" s="31" t="n">
        <f aca="false">IFERROR(C56*INDEX('Menu Pricing'!$M$5:$M$10,MATCH(B56,'Menu Pricing'!$A$5:$A$10,0)),0)</f>
        <v>0</v>
      </c>
    </row>
    <row r="57" customFormat="false" ht="15" hidden="false" customHeight="true" outlineLevel="0" collapsed="false">
      <c r="A57" s="30" t="n">
        <v>46031</v>
      </c>
      <c r="B57" s="26" t="s">
        <v>113</v>
      </c>
      <c r="C57" s="26" t="n">
        <v>0</v>
      </c>
      <c r="D57" s="31" t="n">
        <f aca="false">IFERROR(C57*INDEX('Menu Pricing'!$J$5:$J$10,MATCH(B57,'Menu Pricing'!$A$5:$A$10,0)),0)</f>
        <v>0</v>
      </c>
      <c r="E57" s="31" t="n">
        <f aca="false">IFERROR(C57*INDEX('Menu Pricing'!$K$5:$K$10,MATCH(B57,'Menu Pricing'!$A$5:$A$10,0)),0)</f>
        <v>0</v>
      </c>
      <c r="F57" s="31" t="n">
        <f aca="false">IFERROR(C57*INDEX('Menu Pricing'!$M$5:$M$10,MATCH(B57,'Menu Pricing'!$A$5:$A$10,0)),0)</f>
        <v>0</v>
      </c>
    </row>
    <row r="58" customFormat="false" ht="15" hidden="false" customHeight="true" outlineLevel="0" collapsed="false">
      <c r="A58" s="30" t="n">
        <v>46031</v>
      </c>
      <c r="B58" s="26" t="s">
        <v>114</v>
      </c>
      <c r="C58" s="26" t="n">
        <v>0</v>
      </c>
      <c r="D58" s="31" t="n">
        <f aca="false">IFERROR(C58*INDEX('Menu Pricing'!$J$5:$J$10,MATCH(B58,'Menu Pricing'!$A$5:$A$10,0)),0)</f>
        <v>0</v>
      </c>
      <c r="E58" s="31" t="n">
        <f aca="false">IFERROR(C58*INDEX('Menu Pricing'!$K$5:$K$10,MATCH(B58,'Menu Pricing'!$A$5:$A$10,0)),0)</f>
        <v>0</v>
      </c>
      <c r="F58" s="31" t="n">
        <f aca="false">IFERROR(C58*INDEX('Menu Pricing'!$M$5:$M$10,MATCH(B58,'Menu Pricing'!$A$5:$A$10,0)),0)</f>
        <v>0</v>
      </c>
    </row>
    <row r="59" customFormat="false" ht="15" hidden="false" customHeight="true" outlineLevel="0" collapsed="false">
      <c r="A59" s="30" t="n">
        <v>46032</v>
      </c>
      <c r="B59" s="26" t="s">
        <v>109</v>
      </c>
      <c r="C59" s="26" t="n">
        <v>0</v>
      </c>
      <c r="D59" s="31" t="n">
        <f aca="false">IFERROR(C59*INDEX('Menu Pricing'!$J$5:$J$10,MATCH(B59,'Menu Pricing'!$A$5:$A$10,0)),0)</f>
        <v>0</v>
      </c>
      <c r="E59" s="31" t="n">
        <f aca="false">IFERROR(C59*INDEX('Menu Pricing'!$K$5:$K$10,MATCH(B59,'Menu Pricing'!$A$5:$A$10,0)),0)</f>
        <v>0</v>
      </c>
      <c r="F59" s="31" t="n">
        <f aca="false">IFERROR(C59*INDEX('Menu Pricing'!$M$5:$M$10,MATCH(B59,'Menu Pricing'!$A$5:$A$10,0)),0)</f>
        <v>0</v>
      </c>
    </row>
    <row r="60" customFormat="false" ht="15" hidden="false" customHeight="true" outlineLevel="0" collapsed="false">
      <c r="A60" s="30" t="n">
        <v>46032</v>
      </c>
      <c r="B60" s="26" t="s">
        <v>110</v>
      </c>
      <c r="C60" s="26" t="n">
        <v>0</v>
      </c>
      <c r="D60" s="31" t="n">
        <f aca="false">IFERROR(C60*INDEX('Menu Pricing'!$J$5:$J$10,MATCH(B60,'Menu Pricing'!$A$5:$A$10,0)),0)</f>
        <v>0</v>
      </c>
      <c r="E60" s="31" t="n">
        <f aca="false">IFERROR(C60*INDEX('Menu Pricing'!$K$5:$K$10,MATCH(B60,'Menu Pricing'!$A$5:$A$10,0)),0)</f>
        <v>0</v>
      </c>
      <c r="F60" s="31" t="n">
        <f aca="false">IFERROR(C60*INDEX('Menu Pricing'!$M$5:$M$10,MATCH(B60,'Menu Pricing'!$A$5:$A$10,0)),0)</f>
        <v>0</v>
      </c>
    </row>
    <row r="61" customFormat="false" ht="15" hidden="false" customHeight="true" outlineLevel="0" collapsed="false">
      <c r="A61" s="30" t="n">
        <v>46032</v>
      </c>
      <c r="B61" s="26" t="s">
        <v>111</v>
      </c>
      <c r="C61" s="26" t="n">
        <v>0</v>
      </c>
      <c r="D61" s="31" t="n">
        <f aca="false">IFERROR(C61*INDEX('Menu Pricing'!$J$5:$J$10,MATCH(B61,'Menu Pricing'!$A$5:$A$10,0)),0)</f>
        <v>0</v>
      </c>
      <c r="E61" s="31" t="n">
        <f aca="false">IFERROR(C61*INDEX('Menu Pricing'!$K$5:$K$10,MATCH(B61,'Menu Pricing'!$A$5:$A$10,0)),0)</f>
        <v>0</v>
      </c>
      <c r="F61" s="31" t="n">
        <f aca="false">IFERROR(C61*INDEX('Menu Pricing'!$M$5:$M$10,MATCH(B61,'Menu Pricing'!$A$5:$A$10,0)),0)</f>
        <v>0</v>
      </c>
    </row>
    <row r="62" customFormat="false" ht="15" hidden="false" customHeight="true" outlineLevel="0" collapsed="false">
      <c r="A62" s="30" t="n">
        <v>46032</v>
      </c>
      <c r="B62" s="26" t="s">
        <v>112</v>
      </c>
      <c r="C62" s="26" t="n">
        <v>0</v>
      </c>
      <c r="D62" s="31" t="n">
        <f aca="false">IFERROR(C62*INDEX('Menu Pricing'!$J$5:$J$10,MATCH(B62,'Menu Pricing'!$A$5:$A$10,0)),0)</f>
        <v>0</v>
      </c>
      <c r="E62" s="31" t="n">
        <f aca="false">IFERROR(C62*INDEX('Menu Pricing'!$K$5:$K$10,MATCH(B62,'Menu Pricing'!$A$5:$A$10,0)),0)</f>
        <v>0</v>
      </c>
      <c r="F62" s="31" t="n">
        <f aca="false">IFERROR(C62*INDEX('Menu Pricing'!$M$5:$M$10,MATCH(B62,'Menu Pricing'!$A$5:$A$10,0)),0)</f>
        <v>0</v>
      </c>
    </row>
    <row r="63" customFormat="false" ht="15" hidden="false" customHeight="true" outlineLevel="0" collapsed="false">
      <c r="A63" s="30" t="n">
        <v>46032</v>
      </c>
      <c r="B63" s="26" t="s">
        <v>113</v>
      </c>
      <c r="C63" s="26" t="n">
        <v>0</v>
      </c>
      <c r="D63" s="31" t="n">
        <f aca="false">IFERROR(C63*INDEX('Menu Pricing'!$J$5:$J$10,MATCH(B63,'Menu Pricing'!$A$5:$A$10,0)),0)</f>
        <v>0</v>
      </c>
      <c r="E63" s="31" t="n">
        <f aca="false">IFERROR(C63*INDEX('Menu Pricing'!$K$5:$K$10,MATCH(B63,'Menu Pricing'!$A$5:$A$10,0)),0)</f>
        <v>0</v>
      </c>
      <c r="F63" s="31" t="n">
        <f aca="false">IFERROR(C63*INDEX('Menu Pricing'!$M$5:$M$10,MATCH(B63,'Menu Pricing'!$A$5:$A$10,0)),0)</f>
        <v>0</v>
      </c>
    </row>
    <row r="64" customFormat="false" ht="15" hidden="false" customHeight="true" outlineLevel="0" collapsed="false">
      <c r="A64" s="30" t="n">
        <v>46032</v>
      </c>
      <c r="B64" s="26" t="s">
        <v>114</v>
      </c>
      <c r="C64" s="26" t="n">
        <v>0</v>
      </c>
      <c r="D64" s="31" t="n">
        <f aca="false">IFERROR(C64*INDEX('Menu Pricing'!$J$5:$J$10,MATCH(B64,'Menu Pricing'!$A$5:$A$10,0)),0)</f>
        <v>0</v>
      </c>
      <c r="E64" s="31" t="n">
        <f aca="false">IFERROR(C64*INDEX('Menu Pricing'!$K$5:$K$10,MATCH(B64,'Menu Pricing'!$A$5:$A$10,0)),0)</f>
        <v>0</v>
      </c>
      <c r="F64" s="31" t="n">
        <f aca="false">IFERROR(C64*INDEX('Menu Pricing'!$M$5:$M$10,MATCH(B64,'Menu Pricing'!$A$5:$A$10,0)),0)</f>
        <v>0</v>
      </c>
    </row>
    <row r="65" customFormat="false" ht="15" hidden="false" customHeight="true" outlineLevel="0" collapsed="false">
      <c r="A65" s="30" t="n">
        <v>46033</v>
      </c>
      <c r="B65" s="26" t="s">
        <v>109</v>
      </c>
      <c r="C65" s="26" t="n">
        <v>0</v>
      </c>
      <c r="D65" s="31" t="n">
        <f aca="false">IFERROR(C65*INDEX('Menu Pricing'!$J$5:$J$10,MATCH(B65,'Menu Pricing'!$A$5:$A$10,0)),0)</f>
        <v>0</v>
      </c>
      <c r="E65" s="31" t="n">
        <f aca="false">IFERROR(C65*INDEX('Menu Pricing'!$K$5:$K$10,MATCH(B65,'Menu Pricing'!$A$5:$A$10,0)),0)</f>
        <v>0</v>
      </c>
      <c r="F65" s="31" t="n">
        <f aca="false">IFERROR(C65*INDEX('Menu Pricing'!$M$5:$M$10,MATCH(B65,'Menu Pricing'!$A$5:$A$10,0)),0)</f>
        <v>0</v>
      </c>
    </row>
    <row r="66" customFormat="false" ht="15" hidden="false" customHeight="true" outlineLevel="0" collapsed="false">
      <c r="A66" s="30" t="n">
        <v>46033</v>
      </c>
      <c r="B66" s="26" t="s">
        <v>110</v>
      </c>
      <c r="C66" s="26" t="n">
        <v>0</v>
      </c>
      <c r="D66" s="31" t="n">
        <f aca="false">IFERROR(C66*INDEX('Menu Pricing'!$J$5:$J$10,MATCH(B66,'Menu Pricing'!$A$5:$A$10,0)),0)</f>
        <v>0</v>
      </c>
      <c r="E66" s="31" t="n">
        <f aca="false">IFERROR(C66*INDEX('Menu Pricing'!$K$5:$K$10,MATCH(B66,'Menu Pricing'!$A$5:$A$10,0)),0)</f>
        <v>0</v>
      </c>
      <c r="F66" s="31" t="n">
        <f aca="false">IFERROR(C66*INDEX('Menu Pricing'!$M$5:$M$10,MATCH(B66,'Menu Pricing'!$A$5:$A$10,0)),0)</f>
        <v>0</v>
      </c>
    </row>
    <row r="67" customFormat="false" ht="15" hidden="false" customHeight="true" outlineLevel="0" collapsed="false">
      <c r="A67" s="30" t="n">
        <v>46033</v>
      </c>
      <c r="B67" s="26" t="s">
        <v>111</v>
      </c>
      <c r="C67" s="26" t="n">
        <v>0</v>
      </c>
      <c r="D67" s="31" t="n">
        <f aca="false">IFERROR(C67*INDEX('Menu Pricing'!$J$5:$J$10,MATCH(B67,'Menu Pricing'!$A$5:$A$10,0)),0)</f>
        <v>0</v>
      </c>
      <c r="E67" s="31" t="n">
        <f aca="false">IFERROR(C67*INDEX('Menu Pricing'!$K$5:$K$10,MATCH(B67,'Menu Pricing'!$A$5:$A$10,0)),0)</f>
        <v>0</v>
      </c>
      <c r="F67" s="31" t="n">
        <f aca="false">IFERROR(C67*INDEX('Menu Pricing'!$M$5:$M$10,MATCH(B67,'Menu Pricing'!$A$5:$A$10,0)),0)</f>
        <v>0</v>
      </c>
    </row>
    <row r="68" customFormat="false" ht="15" hidden="false" customHeight="true" outlineLevel="0" collapsed="false">
      <c r="A68" s="30" t="n">
        <v>46033</v>
      </c>
      <c r="B68" s="26" t="s">
        <v>112</v>
      </c>
      <c r="C68" s="26" t="n">
        <v>0</v>
      </c>
      <c r="D68" s="31" t="n">
        <f aca="false">IFERROR(C68*INDEX('Menu Pricing'!$J$5:$J$10,MATCH(B68,'Menu Pricing'!$A$5:$A$10,0)),0)</f>
        <v>0</v>
      </c>
      <c r="E68" s="31" t="n">
        <f aca="false">IFERROR(C68*INDEX('Menu Pricing'!$K$5:$K$10,MATCH(B68,'Menu Pricing'!$A$5:$A$10,0)),0)</f>
        <v>0</v>
      </c>
      <c r="F68" s="31" t="n">
        <f aca="false">IFERROR(C68*INDEX('Menu Pricing'!$M$5:$M$10,MATCH(B68,'Menu Pricing'!$A$5:$A$10,0)),0)</f>
        <v>0</v>
      </c>
    </row>
    <row r="69" customFormat="false" ht="15" hidden="false" customHeight="true" outlineLevel="0" collapsed="false">
      <c r="A69" s="30" t="n">
        <v>46033</v>
      </c>
      <c r="B69" s="26" t="s">
        <v>113</v>
      </c>
      <c r="C69" s="26" t="n">
        <v>0</v>
      </c>
      <c r="D69" s="31" t="n">
        <f aca="false">IFERROR(C69*INDEX('Menu Pricing'!$J$5:$J$10,MATCH(B69,'Menu Pricing'!$A$5:$A$10,0)),0)</f>
        <v>0</v>
      </c>
      <c r="E69" s="31" t="n">
        <f aca="false">IFERROR(C69*INDEX('Menu Pricing'!$K$5:$K$10,MATCH(B69,'Menu Pricing'!$A$5:$A$10,0)),0)</f>
        <v>0</v>
      </c>
      <c r="F69" s="31" t="n">
        <f aca="false">IFERROR(C69*INDEX('Menu Pricing'!$M$5:$M$10,MATCH(B69,'Menu Pricing'!$A$5:$A$10,0)),0)</f>
        <v>0</v>
      </c>
    </row>
    <row r="70" customFormat="false" ht="15" hidden="false" customHeight="true" outlineLevel="0" collapsed="false">
      <c r="A70" s="30" t="n">
        <v>46033</v>
      </c>
      <c r="B70" s="26" t="s">
        <v>114</v>
      </c>
      <c r="C70" s="26" t="n">
        <v>0</v>
      </c>
      <c r="D70" s="31" t="n">
        <f aca="false">IFERROR(C70*INDEX('Menu Pricing'!$J$5:$J$10,MATCH(B70,'Menu Pricing'!$A$5:$A$10,0)),0)</f>
        <v>0</v>
      </c>
      <c r="E70" s="31" t="n">
        <f aca="false">IFERROR(C70*INDEX('Menu Pricing'!$K$5:$K$10,MATCH(B70,'Menu Pricing'!$A$5:$A$10,0)),0)</f>
        <v>0</v>
      </c>
      <c r="F70" s="31" t="n">
        <f aca="false">IFERROR(C70*INDEX('Menu Pricing'!$M$5:$M$10,MATCH(B70,'Menu Pricing'!$A$5:$A$10,0)),0)</f>
        <v>0</v>
      </c>
    </row>
    <row r="71" customFormat="false" ht="15" hidden="false" customHeight="true" outlineLevel="0" collapsed="false">
      <c r="A71" s="30" t="n">
        <v>46034</v>
      </c>
      <c r="B71" s="26" t="s">
        <v>109</v>
      </c>
      <c r="C71" s="26" t="n">
        <v>0</v>
      </c>
      <c r="D71" s="31" t="n">
        <f aca="false">IFERROR(C71*INDEX('Menu Pricing'!$J$5:$J$10,MATCH(B71,'Menu Pricing'!$A$5:$A$10,0)),0)</f>
        <v>0</v>
      </c>
      <c r="E71" s="31" t="n">
        <f aca="false">IFERROR(C71*INDEX('Menu Pricing'!$K$5:$K$10,MATCH(B71,'Menu Pricing'!$A$5:$A$10,0)),0)</f>
        <v>0</v>
      </c>
      <c r="F71" s="31" t="n">
        <f aca="false">IFERROR(C71*INDEX('Menu Pricing'!$M$5:$M$10,MATCH(B71,'Menu Pricing'!$A$5:$A$10,0)),0)</f>
        <v>0</v>
      </c>
    </row>
    <row r="72" customFormat="false" ht="15" hidden="false" customHeight="true" outlineLevel="0" collapsed="false">
      <c r="A72" s="30" t="n">
        <v>46034</v>
      </c>
      <c r="B72" s="26" t="s">
        <v>110</v>
      </c>
      <c r="C72" s="26" t="n">
        <v>0</v>
      </c>
      <c r="D72" s="31" t="n">
        <f aca="false">IFERROR(C72*INDEX('Menu Pricing'!$J$5:$J$10,MATCH(B72,'Menu Pricing'!$A$5:$A$10,0)),0)</f>
        <v>0</v>
      </c>
      <c r="E72" s="31" t="n">
        <f aca="false">IFERROR(C72*INDEX('Menu Pricing'!$K$5:$K$10,MATCH(B72,'Menu Pricing'!$A$5:$A$10,0)),0)</f>
        <v>0</v>
      </c>
      <c r="F72" s="31" t="n">
        <f aca="false">IFERROR(C72*INDEX('Menu Pricing'!$M$5:$M$10,MATCH(B72,'Menu Pricing'!$A$5:$A$10,0)),0)</f>
        <v>0</v>
      </c>
    </row>
    <row r="73" customFormat="false" ht="15" hidden="false" customHeight="true" outlineLevel="0" collapsed="false">
      <c r="A73" s="30" t="n">
        <v>46034</v>
      </c>
      <c r="B73" s="26" t="s">
        <v>111</v>
      </c>
      <c r="C73" s="26" t="n">
        <v>0</v>
      </c>
      <c r="D73" s="31" t="n">
        <f aca="false">IFERROR(C73*INDEX('Menu Pricing'!$J$5:$J$10,MATCH(B73,'Menu Pricing'!$A$5:$A$10,0)),0)</f>
        <v>0</v>
      </c>
      <c r="E73" s="31" t="n">
        <f aca="false">IFERROR(C73*INDEX('Menu Pricing'!$K$5:$K$10,MATCH(B73,'Menu Pricing'!$A$5:$A$10,0)),0)</f>
        <v>0</v>
      </c>
      <c r="F73" s="31" t="n">
        <f aca="false">IFERROR(C73*INDEX('Menu Pricing'!$M$5:$M$10,MATCH(B73,'Menu Pricing'!$A$5:$A$10,0)),0)</f>
        <v>0</v>
      </c>
    </row>
    <row r="74" customFormat="false" ht="15" hidden="false" customHeight="true" outlineLevel="0" collapsed="false">
      <c r="A74" s="30" t="n">
        <v>46034</v>
      </c>
      <c r="B74" s="26" t="s">
        <v>112</v>
      </c>
      <c r="C74" s="26" t="n">
        <v>0</v>
      </c>
      <c r="D74" s="31" t="n">
        <f aca="false">IFERROR(C74*INDEX('Menu Pricing'!$J$5:$J$10,MATCH(B74,'Menu Pricing'!$A$5:$A$10,0)),0)</f>
        <v>0</v>
      </c>
      <c r="E74" s="31" t="n">
        <f aca="false">IFERROR(C74*INDEX('Menu Pricing'!$K$5:$K$10,MATCH(B74,'Menu Pricing'!$A$5:$A$10,0)),0)</f>
        <v>0</v>
      </c>
      <c r="F74" s="31" t="n">
        <f aca="false">IFERROR(C74*INDEX('Menu Pricing'!$M$5:$M$10,MATCH(B74,'Menu Pricing'!$A$5:$A$10,0)),0)</f>
        <v>0</v>
      </c>
    </row>
    <row r="75" customFormat="false" ht="15" hidden="false" customHeight="true" outlineLevel="0" collapsed="false">
      <c r="A75" s="30" t="n">
        <v>46034</v>
      </c>
      <c r="B75" s="26" t="s">
        <v>113</v>
      </c>
      <c r="C75" s="26" t="n">
        <v>0</v>
      </c>
      <c r="D75" s="31" t="n">
        <f aca="false">IFERROR(C75*INDEX('Menu Pricing'!$J$5:$J$10,MATCH(B75,'Menu Pricing'!$A$5:$A$10,0)),0)</f>
        <v>0</v>
      </c>
      <c r="E75" s="31" t="n">
        <f aca="false">IFERROR(C75*INDEX('Menu Pricing'!$K$5:$K$10,MATCH(B75,'Menu Pricing'!$A$5:$A$10,0)),0)</f>
        <v>0</v>
      </c>
      <c r="F75" s="31" t="n">
        <f aca="false">IFERROR(C75*INDEX('Menu Pricing'!$M$5:$M$10,MATCH(B75,'Menu Pricing'!$A$5:$A$10,0)),0)</f>
        <v>0</v>
      </c>
    </row>
    <row r="76" customFormat="false" ht="15" hidden="false" customHeight="true" outlineLevel="0" collapsed="false">
      <c r="A76" s="30" t="n">
        <v>46034</v>
      </c>
      <c r="B76" s="26" t="s">
        <v>114</v>
      </c>
      <c r="C76" s="26" t="n">
        <v>0</v>
      </c>
      <c r="D76" s="31" t="n">
        <f aca="false">IFERROR(C76*INDEX('Menu Pricing'!$J$5:$J$10,MATCH(B76,'Menu Pricing'!$A$5:$A$10,0)),0)</f>
        <v>0</v>
      </c>
      <c r="E76" s="31" t="n">
        <f aca="false">IFERROR(C76*INDEX('Menu Pricing'!$K$5:$K$10,MATCH(B76,'Menu Pricing'!$A$5:$A$10,0)),0)</f>
        <v>0</v>
      </c>
      <c r="F76" s="31" t="n">
        <f aca="false">IFERROR(C76*INDEX('Menu Pricing'!$M$5:$M$10,MATCH(B76,'Menu Pricing'!$A$5:$A$10,0)),0)</f>
        <v>0</v>
      </c>
    </row>
    <row r="77" customFormat="false" ht="15" hidden="false" customHeight="true" outlineLevel="0" collapsed="false">
      <c r="A77" s="30" t="n">
        <v>46035</v>
      </c>
      <c r="B77" s="26" t="s">
        <v>109</v>
      </c>
      <c r="C77" s="26" t="n">
        <v>0</v>
      </c>
      <c r="D77" s="31" t="n">
        <f aca="false">IFERROR(C77*INDEX('Menu Pricing'!$J$5:$J$10,MATCH(B77,'Menu Pricing'!$A$5:$A$10,0)),0)</f>
        <v>0</v>
      </c>
      <c r="E77" s="31" t="n">
        <f aca="false">IFERROR(C77*INDEX('Menu Pricing'!$K$5:$K$10,MATCH(B77,'Menu Pricing'!$A$5:$A$10,0)),0)</f>
        <v>0</v>
      </c>
      <c r="F77" s="31" t="n">
        <f aca="false">IFERROR(C77*INDEX('Menu Pricing'!$M$5:$M$10,MATCH(B77,'Menu Pricing'!$A$5:$A$10,0)),0)</f>
        <v>0</v>
      </c>
    </row>
    <row r="78" customFormat="false" ht="15" hidden="false" customHeight="true" outlineLevel="0" collapsed="false">
      <c r="A78" s="30" t="n">
        <v>46035</v>
      </c>
      <c r="B78" s="26" t="s">
        <v>110</v>
      </c>
      <c r="C78" s="26" t="n">
        <v>0</v>
      </c>
      <c r="D78" s="31" t="n">
        <f aca="false">IFERROR(C78*INDEX('Menu Pricing'!$J$5:$J$10,MATCH(B78,'Menu Pricing'!$A$5:$A$10,0)),0)</f>
        <v>0</v>
      </c>
      <c r="E78" s="31" t="n">
        <f aca="false">IFERROR(C78*INDEX('Menu Pricing'!$K$5:$K$10,MATCH(B78,'Menu Pricing'!$A$5:$A$10,0)),0)</f>
        <v>0</v>
      </c>
      <c r="F78" s="31" t="n">
        <f aca="false">IFERROR(C78*INDEX('Menu Pricing'!$M$5:$M$10,MATCH(B78,'Menu Pricing'!$A$5:$A$10,0)),0)</f>
        <v>0</v>
      </c>
    </row>
    <row r="79" customFormat="false" ht="15" hidden="false" customHeight="true" outlineLevel="0" collapsed="false">
      <c r="A79" s="30" t="n">
        <v>46035</v>
      </c>
      <c r="B79" s="26" t="s">
        <v>111</v>
      </c>
      <c r="C79" s="26" t="n">
        <v>0</v>
      </c>
      <c r="D79" s="31" t="n">
        <f aca="false">IFERROR(C79*INDEX('Menu Pricing'!$J$5:$J$10,MATCH(B79,'Menu Pricing'!$A$5:$A$10,0)),0)</f>
        <v>0</v>
      </c>
      <c r="E79" s="31" t="n">
        <f aca="false">IFERROR(C79*INDEX('Menu Pricing'!$K$5:$K$10,MATCH(B79,'Menu Pricing'!$A$5:$A$10,0)),0)</f>
        <v>0</v>
      </c>
      <c r="F79" s="31" t="n">
        <f aca="false">IFERROR(C79*INDEX('Menu Pricing'!$M$5:$M$10,MATCH(B79,'Menu Pricing'!$A$5:$A$10,0)),0)</f>
        <v>0</v>
      </c>
    </row>
    <row r="80" customFormat="false" ht="15" hidden="false" customHeight="true" outlineLevel="0" collapsed="false">
      <c r="A80" s="30" t="n">
        <v>46035</v>
      </c>
      <c r="B80" s="26" t="s">
        <v>112</v>
      </c>
      <c r="C80" s="26" t="n">
        <v>0</v>
      </c>
      <c r="D80" s="31" t="n">
        <f aca="false">IFERROR(C80*INDEX('Menu Pricing'!$J$5:$J$10,MATCH(B80,'Menu Pricing'!$A$5:$A$10,0)),0)</f>
        <v>0</v>
      </c>
      <c r="E80" s="31" t="n">
        <f aca="false">IFERROR(C80*INDEX('Menu Pricing'!$K$5:$K$10,MATCH(B80,'Menu Pricing'!$A$5:$A$10,0)),0)</f>
        <v>0</v>
      </c>
      <c r="F80" s="31" t="n">
        <f aca="false">IFERROR(C80*INDEX('Menu Pricing'!$M$5:$M$10,MATCH(B80,'Menu Pricing'!$A$5:$A$10,0)),0)</f>
        <v>0</v>
      </c>
    </row>
    <row r="81" customFormat="false" ht="15" hidden="false" customHeight="true" outlineLevel="0" collapsed="false">
      <c r="A81" s="30" t="n">
        <v>46035</v>
      </c>
      <c r="B81" s="26" t="s">
        <v>113</v>
      </c>
      <c r="C81" s="26" t="n">
        <v>0</v>
      </c>
      <c r="D81" s="31" t="n">
        <f aca="false">IFERROR(C81*INDEX('Menu Pricing'!$J$5:$J$10,MATCH(B81,'Menu Pricing'!$A$5:$A$10,0)),0)</f>
        <v>0</v>
      </c>
      <c r="E81" s="31" t="n">
        <f aca="false">IFERROR(C81*INDEX('Menu Pricing'!$K$5:$K$10,MATCH(B81,'Menu Pricing'!$A$5:$A$10,0)),0)</f>
        <v>0</v>
      </c>
      <c r="F81" s="31" t="n">
        <f aca="false">IFERROR(C81*INDEX('Menu Pricing'!$M$5:$M$10,MATCH(B81,'Menu Pricing'!$A$5:$A$10,0)),0)</f>
        <v>0</v>
      </c>
    </row>
    <row r="82" customFormat="false" ht="15" hidden="false" customHeight="true" outlineLevel="0" collapsed="false">
      <c r="A82" s="30" t="n">
        <v>46035</v>
      </c>
      <c r="B82" s="26" t="s">
        <v>114</v>
      </c>
      <c r="C82" s="26" t="n">
        <v>0</v>
      </c>
      <c r="D82" s="31" t="n">
        <f aca="false">IFERROR(C82*INDEX('Menu Pricing'!$J$5:$J$10,MATCH(B82,'Menu Pricing'!$A$5:$A$10,0)),0)</f>
        <v>0</v>
      </c>
      <c r="E82" s="31" t="n">
        <f aca="false">IFERROR(C82*INDEX('Menu Pricing'!$K$5:$K$10,MATCH(B82,'Menu Pricing'!$A$5:$A$10,0)),0)</f>
        <v>0</v>
      </c>
      <c r="F82" s="31" t="n">
        <f aca="false">IFERROR(C82*INDEX('Menu Pricing'!$M$5:$M$10,MATCH(B82,'Menu Pricing'!$A$5:$A$10,0)),0)</f>
        <v>0</v>
      </c>
    </row>
    <row r="83" customFormat="false" ht="15" hidden="false" customHeight="true" outlineLevel="0" collapsed="false">
      <c r="A83" s="30" t="n">
        <v>46036</v>
      </c>
      <c r="B83" s="26" t="s">
        <v>109</v>
      </c>
      <c r="C83" s="26" t="n">
        <v>0</v>
      </c>
      <c r="D83" s="31" t="n">
        <f aca="false">IFERROR(C83*INDEX('Menu Pricing'!$J$5:$J$10,MATCH(B83,'Menu Pricing'!$A$5:$A$10,0)),0)</f>
        <v>0</v>
      </c>
      <c r="E83" s="31" t="n">
        <f aca="false">IFERROR(C83*INDEX('Menu Pricing'!$K$5:$K$10,MATCH(B83,'Menu Pricing'!$A$5:$A$10,0)),0)</f>
        <v>0</v>
      </c>
      <c r="F83" s="31" t="n">
        <f aca="false">IFERROR(C83*INDEX('Menu Pricing'!$M$5:$M$10,MATCH(B83,'Menu Pricing'!$A$5:$A$10,0)),0)</f>
        <v>0</v>
      </c>
    </row>
    <row r="84" customFormat="false" ht="15" hidden="false" customHeight="true" outlineLevel="0" collapsed="false">
      <c r="A84" s="30" t="n">
        <v>46036</v>
      </c>
      <c r="B84" s="26" t="s">
        <v>110</v>
      </c>
      <c r="C84" s="26" t="n">
        <v>0</v>
      </c>
      <c r="D84" s="31" t="n">
        <f aca="false">IFERROR(C84*INDEX('Menu Pricing'!$J$5:$J$10,MATCH(B84,'Menu Pricing'!$A$5:$A$10,0)),0)</f>
        <v>0</v>
      </c>
      <c r="E84" s="31" t="n">
        <f aca="false">IFERROR(C84*INDEX('Menu Pricing'!$K$5:$K$10,MATCH(B84,'Menu Pricing'!$A$5:$A$10,0)),0)</f>
        <v>0</v>
      </c>
      <c r="F84" s="31" t="n">
        <f aca="false">IFERROR(C84*INDEX('Menu Pricing'!$M$5:$M$10,MATCH(B84,'Menu Pricing'!$A$5:$A$10,0)),0)</f>
        <v>0</v>
      </c>
    </row>
    <row r="85" customFormat="false" ht="15" hidden="false" customHeight="true" outlineLevel="0" collapsed="false">
      <c r="A85" s="30" t="n">
        <v>46036</v>
      </c>
      <c r="B85" s="26" t="s">
        <v>111</v>
      </c>
      <c r="C85" s="26" t="n">
        <v>0</v>
      </c>
      <c r="D85" s="31" t="n">
        <f aca="false">IFERROR(C85*INDEX('Menu Pricing'!$J$5:$J$10,MATCH(B85,'Menu Pricing'!$A$5:$A$10,0)),0)</f>
        <v>0</v>
      </c>
      <c r="E85" s="31" t="n">
        <f aca="false">IFERROR(C85*INDEX('Menu Pricing'!$K$5:$K$10,MATCH(B85,'Menu Pricing'!$A$5:$A$10,0)),0)</f>
        <v>0</v>
      </c>
      <c r="F85" s="31" t="n">
        <f aca="false">IFERROR(C85*INDEX('Menu Pricing'!$M$5:$M$10,MATCH(B85,'Menu Pricing'!$A$5:$A$10,0)),0)</f>
        <v>0</v>
      </c>
    </row>
    <row r="86" customFormat="false" ht="15" hidden="false" customHeight="true" outlineLevel="0" collapsed="false">
      <c r="A86" s="30" t="n">
        <v>46036</v>
      </c>
      <c r="B86" s="26" t="s">
        <v>112</v>
      </c>
      <c r="C86" s="26" t="n">
        <v>0</v>
      </c>
      <c r="D86" s="31" t="n">
        <f aca="false">IFERROR(C86*INDEX('Menu Pricing'!$J$5:$J$10,MATCH(B86,'Menu Pricing'!$A$5:$A$10,0)),0)</f>
        <v>0</v>
      </c>
      <c r="E86" s="31" t="n">
        <f aca="false">IFERROR(C86*INDEX('Menu Pricing'!$K$5:$K$10,MATCH(B86,'Menu Pricing'!$A$5:$A$10,0)),0)</f>
        <v>0</v>
      </c>
      <c r="F86" s="31" t="n">
        <f aca="false">IFERROR(C86*INDEX('Menu Pricing'!$M$5:$M$10,MATCH(B86,'Menu Pricing'!$A$5:$A$10,0)),0)</f>
        <v>0</v>
      </c>
    </row>
    <row r="87" customFormat="false" ht="15" hidden="false" customHeight="true" outlineLevel="0" collapsed="false">
      <c r="A87" s="30" t="n">
        <v>46036</v>
      </c>
      <c r="B87" s="26" t="s">
        <v>113</v>
      </c>
      <c r="C87" s="26" t="n">
        <v>0</v>
      </c>
      <c r="D87" s="31" t="n">
        <f aca="false">IFERROR(C87*INDEX('Menu Pricing'!$J$5:$J$10,MATCH(B87,'Menu Pricing'!$A$5:$A$10,0)),0)</f>
        <v>0</v>
      </c>
      <c r="E87" s="31" t="n">
        <f aca="false">IFERROR(C87*INDEX('Menu Pricing'!$K$5:$K$10,MATCH(B87,'Menu Pricing'!$A$5:$A$10,0)),0)</f>
        <v>0</v>
      </c>
      <c r="F87" s="31" t="n">
        <f aca="false">IFERROR(C87*INDEX('Menu Pricing'!$M$5:$M$10,MATCH(B87,'Menu Pricing'!$A$5:$A$10,0)),0)</f>
        <v>0</v>
      </c>
    </row>
    <row r="88" customFormat="false" ht="15" hidden="false" customHeight="true" outlineLevel="0" collapsed="false">
      <c r="A88" s="30" t="n">
        <v>46036</v>
      </c>
      <c r="B88" s="26" t="s">
        <v>114</v>
      </c>
      <c r="C88" s="26" t="n">
        <v>0</v>
      </c>
      <c r="D88" s="31" t="n">
        <f aca="false">IFERROR(C88*INDEX('Menu Pricing'!$J$5:$J$10,MATCH(B88,'Menu Pricing'!$A$5:$A$10,0)),0)</f>
        <v>0</v>
      </c>
      <c r="E88" s="31" t="n">
        <f aca="false">IFERROR(C88*INDEX('Menu Pricing'!$K$5:$K$10,MATCH(B88,'Menu Pricing'!$A$5:$A$10,0)),0)</f>
        <v>0</v>
      </c>
      <c r="F88" s="31" t="n">
        <f aca="false">IFERROR(C88*INDEX('Menu Pricing'!$M$5:$M$10,MATCH(B88,'Menu Pricing'!$A$5:$A$10,0)),0)</f>
        <v>0</v>
      </c>
    </row>
    <row r="89" customFormat="false" ht="15" hidden="false" customHeight="true" outlineLevel="0" collapsed="false">
      <c r="A89" s="30" t="n">
        <v>46037</v>
      </c>
      <c r="B89" s="26" t="s">
        <v>109</v>
      </c>
      <c r="C89" s="26" t="n">
        <v>0</v>
      </c>
      <c r="D89" s="31" t="n">
        <f aca="false">IFERROR(C89*INDEX('Menu Pricing'!$J$5:$J$10,MATCH(B89,'Menu Pricing'!$A$5:$A$10,0)),0)</f>
        <v>0</v>
      </c>
      <c r="E89" s="31" t="n">
        <f aca="false">IFERROR(C89*INDEX('Menu Pricing'!$K$5:$K$10,MATCH(B89,'Menu Pricing'!$A$5:$A$10,0)),0)</f>
        <v>0</v>
      </c>
      <c r="F89" s="31" t="n">
        <f aca="false">IFERROR(C89*INDEX('Menu Pricing'!$M$5:$M$10,MATCH(B89,'Menu Pricing'!$A$5:$A$10,0)),0)</f>
        <v>0</v>
      </c>
    </row>
    <row r="90" customFormat="false" ht="15" hidden="false" customHeight="true" outlineLevel="0" collapsed="false">
      <c r="A90" s="30" t="n">
        <v>46037</v>
      </c>
      <c r="B90" s="26" t="s">
        <v>110</v>
      </c>
      <c r="C90" s="26" t="n">
        <v>0</v>
      </c>
      <c r="D90" s="31" t="n">
        <f aca="false">IFERROR(C90*INDEX('Menu Pricing'!$J$5:$J$10,MATCH(B90,'Menu Pricing'!$A$5:$A$10,0)),0)</f>
        <v>0</v>
      </c>
      <c r="E90" s="31" t="n">
        <f aca="false">IFERROR(C90*INDEX('Menu Pricing'!$K$5:$K$10,MATCH(B90,'Menu Pricing'!$A$5:$A$10,0)),0)</f>
        <v>0</v>
      </c>
      <c r="F90" s="31" t="n">
        <f aca="false">IFERROR(C90*INDEX('Menu Pricing'!$M$5:$M$10,MATCH(B90,'Menu Pricing'!$A$5:$A$10,0)),0)</f>
        <v>0</v>
      </c>
    </row>
    <row r="91" customFormat="false" ht="15" hidden="false" customHeight="true" outlineLevel="0" collapsed="false">
      <c r="A91" s="30" t="n">
        <v>46037</v>
      </c>
      <c r="B91" s="26" t="s">
        <v>111</v>
      </c>
      <c r="C91" s="26" t="n">
        <v>0</v>
      </c>
      <c r="D91" s="31" t="n">
        <f aca="false">IFERROR(C91*INDEX('Menu Pricing'!$J$5:$J$10,MATCH(B91,'Menu Pricing'!$A$5:$A$10,0)),0)</f>
        <v>0</v>
      </c>
      <c r="E91" s="31" t="n">
        <f aca="false">IFERROR(C91*INDEX('Menu Pricing'!$K$5:$K$10,MATCH(B91,'Menu Pricing'!$A$5:$A$10,0)),0)</f>
        <v>0</v>
      </c>
      <c r="F91" s="31" t="n">
        <f aca="false">IFERROR(C91*INDEX('Menu Pricing'!$M$5:$M$10,MATCH(B91,'Menu Pricing'!$A$5:$A$10,0)),0)</f>
        <v>0</v>
      </c>
    </row>
    <row r="92" customFormat="false" ht="15" hidden="false" customHeight="true" outlineLevel="0" collapsed="false">
      <c r="A92" s="30" t="n">
        <v>46037</v>
      </c>
      <c r="B92" s="26" t="s">
        <v>112</v>
      </c>
      <c r="C92" s="26" t="n">
        <v>0</v>
      </c>
      <c r="D92" s="31" t="n">
        <f aca="false">IFERROR(C92*INDEX('Menu Pricing'!$J$5:$J$10,MATCH(B92,'Menu Pricing'!$A$5:$A$10,0)),0)</f>
        <v>0</v>
      </c>
      <c r="E92" s="31" t="n">
        <f aca="false">IFERROR(C92*INDEX('Menu Pricing'!$K$5:$K$10,MATCH(B92,'Menu Pricing'!$A$5:$A$10,0)),0)</f>
        <v>0</v>
      </c>
      <c r="F92" s="31" t="n">
        <f aca="false">IFERROR(C92*INDEX('Menu Pricing'!$M$5:$M$10,MATCH(B92,'Menu Pricing'!$A$5:$A$10,0)),0)</f>
        <v>0</v>
      </c>
    </row>
    <row r="93" customFormat="false" ht="15" hidden="false" customHeight="true" outlineLevel="0" collapsed="false">
      <c r="A93" s="30" t="n">
        <v>46037</v>
      </c>
      <c r="B93" s="26" t="s">
        <v>113</v>
      </c>
      <c r="C93" s="26" t="n">
        <v>0</v>
      </c>
      <c r="D93" s="31" t="n">
        <f aca="false">IFERROR(C93*INDEX('Menu Pricing'!$J$5:$J$10,MATCH(B93,'Menu Pricing'!$A$5:$A$10,0)),0)</f>
        <v>0</v>
      </c>
      <c r="E93" s="31" t="n">
        <f aca="false">IFERROR(C93*INDEX('Menu Pricing'!$K$5:$K$10,MATCH(B93,'Menu Pricing'!$A$5:$A$10,0)),0)</f>
        <v>0</v>
      </c>
      <c r="F93" s="31" t="n">
        <f aca="false">IFERROR(C93*INDEX('Menu Pricing'!$M$5:$M$10,MATCH(B93,'Menu Pricing'!$A$5:$A$10,0)),0)</f>
        <v>0</v>
      </c>
    </row>
    <row r="94" customFormat="false" ht="15" hidden="false" customHeight="true" outlineLevel="0" collapsed="false">
      <c r="A94" s="30" t="n">
        <v>46037</v>
      </c>
      <c r="B94" s="26" t="s">
        <v>114</v>
      </c>
      <c r="C94" s="26" t="n">
        <v>0</v>
      </c>
      <c r="D94" s="31" t="n">
        <f aca="false">IFERROR(C94*INDEX('Menu Pricing'!$J$5:$J$10,MATCH(B94,'Menu Pricing'!$A$5:$A$10,0)),0)</f>
        <v>0</v>
      </c>
      <c r="E94" s="31" t="n">
        <f aca="false">IFERROR(C94*INDEX('Menu Pricing'!$K$5:$K$10,MATCH(B94,'Menu Pricing'!$A$5:$A$10,0)),0)</f>
        <v>0</v>
      </c>
      <c r="F94" s="31" t="n">
        <f aca="false">IFERROR(C94*INDEX('Menu Pricing'!$M$5:$M$10,MATCH(B94,'Menu Pricing'!$A$5:$A$10,0)),0)</f>
        <v>0</v>
      </c>
    </row>
    <row r="95" customFormat="false" ht="15" hidden="false" customHeight="true" outlineLevel="0" collapsed="false">
      <c r="A95" s="30" t="n">
        <v>46038</v>
      </c>
      <c r="B95" s="26" t="s">
        <v>109</v>
      </c>
      <c r="C95" s="26" t="n">
        <v>0</v>
      </c>
      <c r="D95" s="31" t="n">
        <f aca="false">IFERROR(C95*INDEX('Menu Pricing'!$J$5:$J$10,MATCH(B95,'Menu Pricing'!$A$5:$A$10,0)),0)</f>
        <v>0</v>
      </c>
      <c r="E95" s="31" t="n">
        <f aca="false">IFERROR(C95*INDEX('Menu Pricing'!$K$5:$K$10,MATCH(B95,'Menu Pricing'!$A$5:$A$10,0)),0)</f>
        <v>0</v>
      </c>
      <c r="F95" s="31" t="n">
        <f aca="false">IFERROR(C95*INDEX('Menu Pricing'!$M$5:$M$10,MATCH(B95,'Menu Pricing'!$A$5:$A$10,0)),0)</f>
        <v>0</v>
      </c>
    </row>
    <row r="96" customFormat="false" ht="15" hidden="false" customHeight="true" outlineLevel="0" collapsed="false">
      <c r="A96" s="30" t="n">
        <v>46038</v>
      </c>
      <c r="B96" s="26" t="s">
        <v>110</v>
      </c>
      <c r="C96" s="26" t="n">
        <v>0</v>
      </c>
      <c r="D96" s="31" t="n">
        <f aca="false">IFERROR(C96*INDEX('Menu Pricing'!$J$5:$J$10,MATCH(B96,'Menu Pricing'!$A$5:$A$10,0)),0)</f>
        <v>0</v>
      </c>
      <c r="E96" s="31" t="n">
        <f aca="false">IFERROR(C96*INDEX('Menu Pricing'!$K$5:$K$10,MATCH(B96,'Menu Pricing'!$A$5:$A$10,0)),0)</f>
        <v>0</v>
      </c>
      <c r="F96" s="31" t="n">
        <f aca="false">IFERROR(C96*INDEX('Menu Pricing'!$M$5:$M$10,MATCH(B96,'Menu Pricing'!$A$5:$A$10,0)),0)</f>
        <v>0</v>
      </c>
    </row>
    <row r="97" customFormat="false" ht="15" hidden="false" customHeight="true" outlineLevel="0" collapsed="false">
      <c r="A97" s="30" t="n">
        <v>46038</v>
      </c>
      <c r="B97" s="26" t="s">
        <v>111</v>
      </c>
      <c r="C97" s="26" t="n">
        <v>0</v>
      </c>
      <c r="D97" s="31" t="n">
        <f aca="false">IFERROR(C97*INDEX('Menu Pricing'!$J$5:$J$10,MATCH(B97,'Menu Pricing'!$A$5:$A$10,0)),0)</f>
        <v>0</v>
      </c>
      <c r="E97" s="31" t="n">
        <f aca="false">IFERROR(C97*INDEX('Menu Pricing'!$K$5:$K$10,MATCH(B97,'Menu Pricing'!$A$5:$A$10,0)),0)</f>
        <v>0</v>
      </c>
      <c r="F97" s="31" t="n">
        <f aca="false">IFERROR(C97*INDEX('Menu Pricing'!$M$5:$M$10,MATCH(B97,'Menu Pricing'!$A$5:$A$10,0)),0)</f>
        <v>0</v>
      </c>
    </row>
    <row r="98" customFormat="false" ht="15" hidden="false" customHeight="true" outlineLevel="0" collapsed="false">
      <c r="A98" s="30" t="n">
        <v>46038</v>
      </c>
      <c r="B98" s="26" t="s">
        <v>112</v>
      </c>
      <c r="C98" s="26" t="n">
        <v>0</v>
      </c>
      <c r="D98" s="31" t="n">
        <f aca="false">IFERROR(C98*INDEX('Menu Pricing'!$J$5:$J$10,MATCH(B98,'Menu Pricing'!$A$5:$A$10,0)),0)</f>
        <v>0</v>
      </c>
      <c r="E98" s="31" t="n">
        <f aca="false">IFERROR(C98*INDEX('Menu Pricing'!$K$5:$K$10,MATCH(B98,'Menu Pricing'!$A$5:$A$10,0)),0)</f>
        <v>0</v>
      </c>
      <c r="F98" s="31" t="n">
        <f aca="false">IFERROR(C98*INDEX('Menu Pricing'!$M$5:$M$10,MATCH(B98,'Menu Pricing'!$A$5:$A$10,0)),0)</f>
        <v>0</v>
      </c>
    </row>
    <row r="99" customFormat="false" ht="15" hidden="false" customHeight="true" outlineLevel="0" collapsed="false">
      <c r="A99" s="30" t="n">
        <v>46038</v>
      </c>
      <c r="B99" s="26" t="s">
        <v>113</v>
      </c>
      <c r="C99" s="26" t="n">
        <v>0</v>
      </c>
      <c r="D99" s="31" t="n">
        <f aca="false">IFERROR(C99*INDEX('Menu Pricing'!$J$5:$J$10,MATCH(B99,'Menu Pricing'!$A$5:$A$10,0)),0)</f>
        <v>0</v>
      </c>
      <c r="E99" s="31" t="n">
        <f aca="false">IFERROR(C99*INDEX('Menu Pricing'!$K$5:$K$10,MATCH(B99,'Menu Pricing'!$A$5:$A$10,0)),0)</f>
        <v>0</v>
      </c>
      <c r="F99" s="31" t="n">
        <f aca="false">IFERROR(C99*INDEX('Menu Pricing'!$M$5:$M$10,MATCH(B99,'Menu Pricing'!$A$5:$A$10,0)),0)</f>
        <v>0</v>
      </c>
    </row>
    <row r="100" customFormat="false" ht="15" hidden="false" customHeight="true" outlineLevel="0" collapsed="false">
      <c r="A100" s="30" t="n">
        <v>46038</v>
      </c>
      <c r="B100" s="26" t="s">
        <v>114</v>
      </c>
      <c r="C100" s="26" t="n">
        <v>0</v>
      </c>
      <c r="D100" s="31" t="n">
        <f aca="false">IFERROR(C100*INDEX('Menu Pricing'!$J$5:$J$10,MATCH(B100,'Menu Pricing'!$A$5:$A$10,0)),0)</f>
        <v>0</v>
      </c>
      <c r="E100" s="31" t="n">
        <f aca="false">IFERROR(C100*INDEX('Menu Pricing'!$K$5:$K$10,MATCH(B100,'Menu Pricing'!$A$5:$A$10,0)),0)</f>
        <v>0</v>
      </c>
      <c r="F100" s="31" t="n">
        <f aca="false">IFERROR(C100*INDEX('Menu Pricing'!$M$5:$M$10,MATCH(B100,'Menu Pricing'!$A$5:$A$10,0)),0)</f>
        <v>0</v>
      </c>
    </row>
    <row r="101" customFormat="false" ht="15" hidden="false" customHeight="true" outlineLevel="0" collapsed="false">
      <c r="A101" s="30" t="n">
        <v>46039</v>
      </c>
      <c r="B101" s="26" t="s">
        <v>109</v>
      </c>
      <c r="C101" s="26" t="n">
        <v>0</v>
      </c>
      <c r="D101" s="31" t="n">
        <f aca="false">IFERROR(C101*INDEX('Menu Pricing'!$J$5:$J$10,MATCH(B101,'Menu Pricing'!$A$5:$A$10,0)),0)</f>
        <v>0</v>
      </c>
      <c r="E101" s="31" t="n">
        <f aca="false">IFERROR(C101*INDEX('Menu Pricing'!$K$5:$K$10,MATCH(B101,'Menu Pricing'!$A$5:$A$10,0)),0)</f>
        <v>0</v>
      </c>
      <c r="F101" s="31" t="n">
        <f aca="false">IFERROR(C101*INDEX('Menu Pricing'!$M$5:$M$10,MATCH(B101,'Menu Pricing'!$A$5:$A$10,0)),0)</f>
        <v>0</v>
      </c>
    </row>
    <row r="102" customFormat="false" ht="15" hidden="false" customHeight="true" outlineLevel="0" collapsed="false">
      <c r="A102" s="30" t="n">
        <v>46039</v>
      </c>
      <c r="B102" s="26" t="s">
        <v>110</v>
      </c>
      <c r="C102" s="26" t="n">
        <v>0</v>
      </c>
      <c r="D102" s="31" t="n">
        <f aca="false">IFERROR(C102*INDEX('Menu Pricing'!$J$5:$J$10,MATCH(B102,'Menu Pricing'!$A$5:$A$10,0)),0)</f>
        <v>0</v>
      </c>
      <c r="E102" s="31" t="n">
        <f aca="false">IFERROR(C102*INDEX('Menu Pricing'!$K$5:$K$10,MATCH(B102,'Menu Pricing'!$A$5:$A$10,0)),0)</f>
        <v>0</v>
      </c>
      <c r="F102" s="31" t="n">
        <f aca="false">IFERROR(C102*INDEX('Menu Pricing'!$M$5:$M$10,MATCH(B102,'Menu Pricing'!$A$5:$A$10,0)),0)</f>
        <v>0</v>
      </c>
    </row>
    <row r="103" customFormat="false" ht="15" hidden="false" customHeight="true" outlineLevel="0" collapsed="false">
      <c r="A103" s="30" t="n">
        <v>46039</v>
      </c>
      <c r="B103" s="26" t="s">
        <v>111</v>
      </c>
      <c r="C103" s="26" t="n">
        <v>0</v>
      </c>
      <c r="D103" s="31" t="n">
        <f aca="false">IFERROR(C103*INDEX('Menu Pricing'!$J$5:$J$10,MATCH(B103,'Menu Pricing'!$A$5:$A$10,0)),0)</f>
        <v>0</v>
      </c>
      <c r="E103" s="31" t="n">
        <f aca="false">IFERROR(C103*INDEX('Menu Pricing'!$K$5:$K$10,MATCH(B103,'Menu Pricing'!$A$5:$A$10,0)),0)</f>
        <v>0</v>
      </c>
      <c r="F103" s="31" t="n">
        <f aca="false">IFERROR(C103*INDEX('Menu Pricing'!$M$5:$M$10,MATCH(B103,'Menu Pricing'!$A$5:$A$10,0)),0)</f>
        <v>0</v>
      </c>
    </row>
    <row r="104" customFormat="false" ht="15" hidden="false" customHeight="true" outlineLevel="0" collapsed="false">
      <c r="A104" s="30" t="n">
        <v>46039</v>
      </c>
      <c r="B104" s="26" t="s">
        <v>112</v>
      </c>
      <c r="C104" s="26" t="n">
        <v>0</v>
      </c>
      <c r="D104" s="31" t="n">
        <f aca="false">IFERROR(C104*INDEX('Menu Pricing'!$J$5:$J$10,MATCH(B104,'Menu Pricing'!$A$5:$A$10,0)),0)</f>
        <v>0</v>
      </c>
      <c r="E104" s="31" t="n">
        <f aca="false">IFERROR(C104*INDEX('Menu Pricing'!$K$5:$K$10,MATCH(B104,'Menu Pricing'!$A$5:$A$10,0)),0)</f>
        <v>0</v>
      </c>
      <c r="F104" s="31" t="n">
        <f aca="false">IFERROR(C104*INDEX('Menu Pricing'!$M$5:$M$10,MATCH(B104,'Menu Pricing'!$A$5:$A$10,0)),0)</f>
        <v>0</v>
      </c>
    </row>
    <row r="105" customFormat="false" ht="15" hidden="false" customHeight="true" outlineLevel="0" collapsed="false">
      <c r="A105" s="30" t="n">
        <v>46039</v>
      </c>
      <c r="B105" s="26" t="s">
        <v>113</v>
      </c>
      <c r="C105" s="26" t="n">
        <v>0</v>
      </c>
      <c r="D105" s="31" t="n">
        <f aca="false">IFERROR(C105*INDEX('Menu Pricing'!$J$5:$J$10,MATCH(B105,'Menu Pricing'!$A$5:$A$10,0)),0)</f>
        <v>0</v>
      </c>
      <c r="E105" s="31" t="n">
        <f aca="false">IFERROR(C105*INDEX('Menu Pricing'!$K$5:$K$10,MATCH(B105,'Menu Pricing'!$A$5:$A$10,0)),0)</f>
        <v>0</v>
      </c>
      <c r="F105" s="31" t="n">
        <f aca="false">IFERROR(C105*INDEX('Menu Pricing'!$M$5:$M$10,MATCH(B105,'Menu Pricing'!$A$5:$A$10,0)),0)</f>
        <v>0</v>
      </c>
    </row>
    <row r="106" customFormat="false" ht="15" hidden="false" customHeight="true" outlineLevel="0" collapsed="false">
      <c r="A106" s="30" t="n">
        <v>46039</v>
      </c>
      <c r="B106" s="26" t="s">
        <v>114</v>
      </c>
      <c r="C106" s="26" t="n">
        <v>0</v>
      </c>
      <c r="D106" s="31" t="n">
        <f aca="false">IFERROR(C106*INDEX('Menu Pricing'!$J$5:$J$10,MATCH(B106,'Menu Pricing'!$A$5:$A$10,0)),0)</f>
        <v>0</v>
      </c>
      <c r="E106" s="31" t="n">
        <f aca="false">IFERROR(C106*INDEX('Menu Pricing'!$K$5:$K$10,MATCH(B106,'Menu Pricing'!$A$5:$A$10,0)),0)</f>
        <v>0</v>
      </c>
      <c r="F106" s="31" t="n">
        <f aca="false">IFERROR(C106*INDEX('Menu Pricing'!$M$5:$M$10,MATCH(B106,'Menu Pricing'!$A$5:$A$10,0)),0)</f>
        <v>0</v>
      </c>
    </row>
    <row r="107" customFormat="false" ht="15" hidden="false" customHeight="true" outlineLevel="0" collapsed="false">
      <c r="A107" s="30" t="n">
        <v>46040</v>
      </c>
      <c r="B107" s="26" t="s">
        <v>109</v>
      </c>
      <c r="C107" s="26" t="n">
        <v>0</v>
      </c>
      <c r="D107" s="31" t="n">
        <f aca="false">IFERROR(C107*INDEX('Menu Pricing'!$J$5:$J$10,MATCH(B107,'Menu Pricing'!$A$5:$A$10,0)),0)</f>
        <v>0</v>
      </c>
      <c r="E107" s="31" t="n">
        <f aca="false">IFERROR(C107*INDEX('Menu Pricing'!$K$5:$K$10,MATCH(B107,'Menu Pricing'!$A$5:$A$10,0)),0)</f>
        <v>0</v>
      </c>
      <c r="F107" s="31" t="n">
        <f aca="false">IFERROR(C107*INDEX('Menu Pricing'!$M$5:$M$10,MATCH(B107,'Menu Pricing'!$A$5:$A$10,0)),0)</f>
        <v>0</v>
      </c>
    </row>
    <row r="108" customFormat="false" ht="15" hidden="false" customHeight="true" outlineLevel="0" collapsed="false">
      <c r="A108" s="30" t="n">
        <v>46040</v>
      </c>
      <c r="B108" s="26" t="s">
        <v>110</v>
      </c>
      <c r="C108" s="26" t="n">
        <v>0</v>
      </c>
      <c r="D108" s="31" t="n">
        <f aca="false">IFERROR(C108*INDEX('Menu Pricing'!$J$5:$J$10,MATCH(B108,'Menu Pricing'!$A$5:$A$10,0)),0)</f>
        <v>0</v>
      </c>
      <c r="E108" s="31" t="n">
        <f aca="false">IFERROR(C108*INDEX('Menu Pricing'!$K$5:$K$10,MATCH(B108,'Menu Pricing'!$A$5:$A$10,0)),0)</f>
        <v>0</v>
      </c>
      <c r="F108" s="31" t="n">
        <f aca="false">IFERROR(C108*INDEX('Menu Pricing'!$M$5:$M$10,MATCH(B108,'Menu Pricing'!$A$5:$A$10,0)),0)</f>
        <v>0</v>
      </c>
    </row>
    <row r="109" customFormat="false" ht="15" hidden="false" customHeight="true" outlineLevel="0" collapsed="false">
      <c r="A109" s="30" t="n">
        <v>46040</v>
      </c>
      <c r="B109" s="26" t="s">
        <v>111</v>
      </c>
      <c r="C109" s="26" t="n">
        <v>0</v>
      </c>
      <c r="D109" s="31" t="n">
        <f aca="false">IFERROR(C109*INDEX('Menu Pricing'!$J$5:$J$10,MATCH(B109,'Menu Pricing'!$A$5:$A$10,0)),0)</f>
        <v>0</v>
      </c>
      <c r="E109" s="31" t="n">
        <f aca="false">IFERROR(C109*INDEX('Menu Pricing'!$K$5:$K$10,MATCH(B109,'Menu Pricing'!$A$5:$A$10,0)),0)</f>
        <v>0</v>
      </c>
      <c r="F109" s="31" t="n">
        <f aca="false">IFERROR(C109*INDEX('Menu Pricing'!$M$5:$M$10,MATCH(B109,'Menu Pricing'!$A$5:$A$10,0)),0)</f>
        <v>0</v>
      </c>
    </row>
    <row r="110" customFormat="false" ht="15" hidden="false" customHeight="true" outlineLevel="0" collapsed="false">
      <c r="A110" s="30" t="n">
        <v>46040</v>
      </c>
      <c r="B110" s="26" t="s">
        <v>112</v>
      </c>
      <c r="C110" s="26" t="n">
        <v>0</v>
      </c>
      <c r="D110" s="31" t="n">
        <f aca="false">IFERROR(C110*INDEX('Menu Pricing'!$J$5:$J$10,MATCH(B110,'Menu Pricing'!$A$5:$A$10,0)),0)</f>
        <v>0</v>
      </c>
      <c r="E110" s="31" t="n">
        <f aca="false">IFERROR(C110*INDEX('Menu Pricing'!$K$5:$K$10,MATCH(B110,'Menu Pricing'!$A$5:$A$10,0)),0)</f>
        <v>0</v>
      </c>
      <c r="F110" s="31" t="n">
        <f aca="false">IFERROR(C110*INDEX('Menu Pricing'!$M$5:$M$10,MATCH(B110,'Menu Pricing'!$A$5:$A$10,0)),0)</f>
        <v>0</v>
      </c>
    </row>
    <row r="111" customFormat="false" ht="15" hidden="false" customHeight="true" outlineLevel="0" collapsed="false">
      <c r="A111" s="30" t="n">
        <v>46040</v>
      </c>
      <c r="B111" s="26" t="s">
        <v>113</v>
      </c>
      <c r="C111" s="26" t="n">
        <v>0</v>
      </c>
      <c r="D111" s="31" t="n">
        <f aca="false">IFERROR(C111*INDEX('Menu Pricing'!$J$5:$J$10,MATCH(B111,'Menu Pricing'!$A$5:$A$10,0)),0)</f>
        <v>0</v>
      </c>
      <c r="E111" s="31" t="n">
        <f aca="false">IFERROR(C111*INDEX('Menu Pricing'!$K$5:$K$10,MATCH(B111,'Menu Pricing'!$A$5:$A$10,0)),0)</f>
        <v>0</v>
      </c>
      <c r="F111" s="31" t="n">
        <f aca="false">IFERROR(C111*INDEX('Menu Pricing'!$M$5:$M$10,MATCH(B111,'Menu Pricing'!$A$5:$A$10,0)),0)</f>
        <v>0</v>
      </c>
    </row>
    <row r="112" customFormat="false" ht="15" hidden="false" customHeight="true" outlineLevel="0" collapsed="false">
      <c r="A112" s="30" t="n">
        <v>46040</v>
      </c>
      <c r="B112" s="26" t="s">
        <v>114</v>
      </c>
      <c r="C112" s="26" t="n">
        <v>0</v>
      </c>
      <c r="D112" s="31" t="n">
        <f aca="false">IFERROR(C112*INDEX('Menu Pricing'!$J$5:$J$10,MATCH(B112,'Menu Pricing'!$A$5:$A$10,0)),0)</f>
        <v>0</v>
      </c>
      <c r="E112" s="31" t="n">
        <f aca="false">IFERROR(C112*INDEX('Menu Pricing'!$K$5:$K$10,MATCH(B112,'Menu Pricing'!$A$5:$A$10,0)),0)</f>
        <v>0</v>
      </c>
      <c r="F112" s="31" t="n">
        <f aca="false">IFERROR(C112*INDEX('Menu Pricing'!$M$5:$M$10,MATCH(B112,'Menu Pricing'!$A$5:$A$10,0)),0)</f>
        <v>0</v>
      </c>
    </row>
    <row r="113" customFormat="false" ht="15" hidden="false" customHeight="true" outlineLevel="0" collapsed="false">
      <c r="A113" s="30" t="n">
        <v>46041</v>
      </c>
      <c r="B113" s="26" t="s">
        <v>109</v>
      </c>
      <c r="C113" s="26" t="n">
        <v>0</v>
      </c>
      <c r="D113" s="31" t="n">
        <f aca="false">IFERROR(C113*INDEX('Menu Pricing'!$J$5:$J$10,MATCH(B113,'Menu Pricing'!$A$5:$A$10,0)),0)</f>
        <v>0</v>
      </c>
      <c r="E113" s="31" t="n">
        <f aca="false">IFERROR(C113*INDEX('Menu Pricing'!$K$5:$K$10,MATCH(B113,'Menu Pricing'!$A$5:$A$10,0)),0)</f>
        <v>0</v>
      </c>
      <c r="F113" s="31" t="n">
        <f aca="false">IFERROR(C113*INDEX('Menu Pricing'!$M$5:$M$10,MATCH(B113,'Menu Pricing'!$A$5:$A$10,0)),0)</f>
        <v>0</v>
      </c>
    </row>
    <row r="114" customFormat="false" ht="15" hidden="false" customHeight="true" outlineLevel="0" collapsed="false">
      <c r="A114" s="30" t="n">
        <v>46041</v>
      </c>
      <c r="B114" s="26" t="s">
        <v>110</v>
      </c>
      <c r="C114" s="26" t="n">
        <v>0</v>
      </c>
      <c r="D114" s="31" t="n">
        <f aca="false">IFERROR(C114*INDEX('Menu Pricing'!$J$5:$J$10,MATCH(B114,'Menu Pricing'!$A$5:$A$10,0)),0)</f>
        <v>0</v>
      </c>
      <c r="E114" s="31" t="n">
        <f aca="false">IFERROR(C114*INDEX('Menu Pricing'!$K$5:$K$10,MATCH(B114,'Menu Pricing'!$A$5:$A$10,0)),0)</f>
        <v>0</v>
      </c>
      <c r="F114" s="31" t="n">
        <f aca="false">IFERROR(C114*INDEX('Menu Pricing'!$M$5:$M$10,MATCH(B114,'Menu Pricing'!$A$5:$A$10,0)),0)</f>
        <v>0</v>
      </c>
    </row>
    <row r="115" customFormat="false" ht="15" hidden="false" customHeight="true" outlineLevel="0" collapsed="false">
      <c r="A115" s="30" t="n">
        <v>46041</v>
      </c>
      <c r="B115" s="26" t="s">
        <v>111</v>
      </c>
      <c r="C115" s="26" t="n">
        <v>0</v>
      </c>
      <c r="D115" s="31" t="n">
        <f aca="false">IFERROR(C115*INDEX('Menu Pricing'!$J$5:$J$10,MATCH(B115,'Menu Pricing'!$A$5:$A$10,0)),0)</f>
        <v>0</v>
      </c>
      <c r="E115" s="31" t="n">
        <f aca="false">IFERROR(C115*INDEX('Menu Pricing'!$K$5:$K$10,MATCH(B115,'Menu Pricing'!$A$5:$A$10,0)),0)</f>
        <v>0</v>
      </c>
      <c r="F115" s="31" t="n">
        <f aca="false">IFERROR(C115*INDEX('Menu Pricing'!$M$5:$M$10,MATCH(B115,'Menu Pricing'!$A$5:$A$10,0)),0)</f>
        <v>0</v>
      </c>
    </row>
    <row r="116" customFormat="false" ht="15" hidden="false" customHeight="true" outlineLevel="0" collapsed="false">
      <c r="A116" s="30" t="n">
        <v>46041</v>
      </c>
      <c r="B116" s="26" t="s">
        <v>112</v>
      </c>
      <c r="C116" s="26" t="n">
        <v>0</v>
      </c>
      <c r="D116" s="31" t="n">
        <f aca="false">IFERROR(C116*INDEX('Menu Pricing'!$J$5:$J$10,MATCH(B116,'Menu Pricing'!$A$5:$A$10,0)),0)</f>
        <v>0</v>
      </c>
      <c r="E116" s="31" t="n">
        <f aca="false">IFERROR(C116*INDEX('Menu Pricing'!$K$5:$K$10,MATCH(B116,'Menu Pricing'!$A$5:$A$10,0)),0)</f>
        <v>0</v>
      </c>
      <c r="F116" s="31" t="n">
        <f aca="false">IFERROR(C116*INDEX('Menu Pricing'!$M$5:$M$10,MATCH(B116,'Menu Pricing'!$A$5:$A$10,0)),0)</f>
        <v>0</v>
      </c>
    </row>
    <row r="117" customFormat="false" ht="15" hidden="false" customHeight="true" outlineLevel="0" collapsed="false">
      <c r="A117" s="30" t="n">
        <v>46041</v>
      </c>
      <c r="B117" s="26" t="s">
        <v>113</v>
      </c>
      <c r="C117" s="26" t="n">
        <v>0</v>
      </c>
      <c r="D117" s="31" t="n">
        <f aca="false">IFERROR(C117*INDEX('Menu Pricing'!$J$5:$J$10,MATCH(B117,'Menu Pricing'!$A$5:$A$10,0)),0)</f>
        <v>0</v>
      </c>
      <c r="E117" s="31" t="n">
        <f aca="false">IFERROR(C117*INDEX('Menu Pricing'!$K$5:$K$10,MATCH(B117,'Menu Pricing'!$A$5:$A$10,0)),0)</f>
        <v>0</v>
      </c>
      <c r="F117" s="31" t="n">
        <f aca="false">IFERROR(C117*INDEX('Menu Pricing'!$M$5:$M$10,MATCH(B117,'Menu Pricing'!$A$5:$A$10,0)),0)</f>
        <v>0</v>
      </c>
    </row>
    <row r="118" customFormat="false" ht="15" hidden="false" customHeight="true" outlineLevel="0" collapsed="false">
      <c r="A118" s="30" t="n">
        <v>46041</v>
      </c>
      <c r="B118" s="26" t="s">
        <v>114</v>
      </c>
      <c r="C118" s="26" t="n">
        <v>0</v>
      </c>
      <c r="D118" s="31" t="n">
        <f aca="false">IFERROR(C118*INDEX('Menu Pricing'!$J$5:$J$10,MATCH(B118,'Menu Pricing'!$A$5:$A$10,0)),0)</f>
        <v>0</v>
      </c>
      <c r="E118" s="31" t="n">
        <f aca="false">IFERROR(C118*INDEX('Menu Pricing'!$K$5:$K$10,MATCH(B118,'Menu Pricing'!$A$5:$A$10,0)),0)</f>
        <v>0</v>
      </c>
      <c r="F118" s="31" t="n">
        <f aca="false">IFERROR(C118*INDEX('Menu Pricing'!$M$5:$M$10,MATCH(B118,'Menu Pricing'!$A$5:$A$10,0)),0)</f>
        <v>0</v>
      </c>
    </row>
    <row r="119" customFormat="false" ht="15" hidden="false" customHeight="true" outlineLevel="0" collapsed="false">
      <c r="A119" s="30" t="n">
        <v>46042</v>
      </c>
      <c r="B119" s="26" t="s">
        <v>109</v>
      </c>
      <c r="C119" s="26" t="n">
        <v>0</v>
      </c>
      <c r="D119" s="31" t="n">
        <f aca="false">IFERROR(C119*INDEX('Menu Pricing'!$J$5:$J$10,MATCH(B119,'Menu Pricing'!$A$5:$A$10,0)),0)</f>
        <v>0</v>
      </c>
      <c r="E119" s="31" t="n">
        <f aca="false">IFERROR(C119*INDEX('Menu Pricing'!$K$5:$K$10,MATCH(B119,'Menu Pricing'!$A$5:$A$10,0)),0)</f>
        <v>0</v>
      </c>
      <c r="F119" s="31" t="n">
        <f aca="false">IFERROR(C119*INDEX('Menu Pricing'!$M$5:$M$10,MATCH(B119,'Menu Pricing'!$A$5:$A$10,0)),0)</f>
        <v>0</v>
      </c>
    </row>
    <row r="120" customFormat="false" ht="15" hidden="false" customHeight="true" outlineLevel="0" collapsed="false">
      <c r="A120" s="30" t="n">
        <v>46042</v>
      </c>
      <c r="B120" s="26" t="s">
        <v>110</v>
      </c>
      <c r="C120" s="26" t="n">
        <v>0</v>
      </c>
      <c r="D120" s="31" t="n">
        <f aca="false">IFERROR(C120*INDEX('Menu Pricing'!$J$5:$J$10,MATCH(B120,'Menu Pricing'!$A$5:$A$10,0)),0)</f>
        <v>0</v>
      </c>
      <c r="E120" s="31" t="n">
        <f aca="false">IFERROR(C120*INDEX('Menu Pricing'!$K$5:$K$10,MATCH(B120,'Menu Pricing'!$A$5:$A$10,0)),0)</f>
        <v>0</v>
      </c>
      <c r="F120" s="31" t="n">
        <f aca="false">IFERROR(C120*INDEX('Menu Pricing'!$M$5:$M$10,MATCH(B120,'Menu Pricing'!$A$5:$A$10,0)),0)</f>
        <v>0</v>
      </c>
    </row>
    <row r="121" customFormat="false" ht="15" hidden="false" customHeight="true" outlineLevel="0" collapsed="false">
      <c r="A121" s="30" t="n">
        <v>46042</v>
      </c>
      <c r="B121" s="26" t="s">
        <v>111</v>
      </c>
      <c r="C121" s="26" t="n">
        <v>0</v>
      </c>
      <c r="D121" s="31" t="n">
        <f aca="false">IFERROR(C121*INDEX('Menu Pricing'!$J$5:$J$10,MATCH(B121,'Menu Pricing'!$A$5:$A$10,0)),0)</f>
        <v>0</v>
      </c>
      <c r="E121" s="31" t="n">
        <f aca="false">IFERROR(C121*INDEX('Menu Pricing'!$K$5:$K$10,MATCH(B121,'Menu Pricing'!$A$5:$A$10,0)),0)</f>
        <v>0</v>
      </c>
      <c r="F121" s="31" t="n">
        <f aca="false">IFERROR(C121*INDEX('Menu Pricing'!$M$5:$M$10,MATCH(B121,'Menu Pricing'!$A$5:$A$10,0)),0)</f>
        <v>0</v>
      </c>
    </row>
    <row r="122" customFormat="false" ht="15" hidden="false" customHeight="true" outlineLevel="0" collapsed="false">
      <c r="A122" s="30" t="n">
        <v>46042</v>
      </c>
      <c r="B122" s="26" t="s">
        <v>112</v>
      </c>
      <c r="C122" s="26" t="n">
        <v>0</v>
      </c>
      <c r="D122" s="31" t="n">
        <f aca="false">IFERROR(C122*INDEX('Menu Pricing'!$J$5:$J$10,MATCH(B122,'Menu Pricing'!$A$5:$A$10,0)),0)</f>
        <v>0</v>
      </c>
      <c r="E122" s="31" t="n">
        <f aca="false">IFERROR(C122*INDEX('Menu Pricing'!$K$5:$K$10,MATCH(B122,'Menu Pricing'!$A$5:$A$10,0)),0)</f>
        <v>0</v>
      </c>
      <c r="F122" s="31" t="n">
        <f aca="false">IFERROR(C122*INDEX('Menu Pricing'!$M$5:$M$10,MATCH(B122,'Menu Pricing'!$A$5:$A$10,0)),0)</f>
        <v>0</v>
      </c>
    </row>
    <row r="123" customFormat="false" ht="15" hidden="false" customHeight="true" outlineLevel="0" collapsed="false">
      <c r="A123" s="30" t="n">
        <v>46042</v>
      </c>
      <c r="B123" s="26" t="s">
        <v>113</v>
      </c>
      <c r="C123" s="26" t="n">
        <v>0</v>
      </c>
      <c r="D123" s="31" t="n">
        <f aca="false">IFERROR(C123*INDEX('Menu Pricing'!$J$5:$J$10,MATCH(B123,'Menu Pricing'!$A$5:$A$10,0)),0)</f>
        <v>0</v>
      </c>
      <c r="E123" s="31" t="n">
        <f aca="false">IFERROR(C123*INDEX('Menu Pricing'!$K$5:$K$10,MATCH(B123,'Menu Pricing'!$A$5:$A$10,0)),0)</f>
        <v>0</v>
      </c>
      <c r="F123" s="31" t="n">
        <f aca="false">IFERROR(C123*INDEX('Menu Pricing'!$M$5:$M$10,MATCH(B123,'Menu Pricing'!$A$5:$A$10,0)),0)</f>
        <v>0</v>
      </c>
    </row>
    <row r="124" customFormat="false" ht="15" hidden="false" customHeight="true" outlineLevel="0" collapsed="false">
      <c r="A124" s="30" t="n">
        <v>46042</v>
      </c>
      <c r="B124" s="26" t="s">
        <v>114</v>
      </c>
      <c r="C124" s="26" t="n">
        <v>0</v>
      </c>
      <c r="D124" s="31" t="n">
        <f aca="false">IFERROR(C124*INDEX('Menu Pricing'!$J$5:$J$10,MATCH(B124,'Menu Pricing'!$A$5:$A$10,0)),0)</f>
        <v>0</v>
      </c>
      <c r="E124" s="31" t="n">
        <f aca="false">IFERROR(C124*INDEX('Menu Pricing'!$K$5:$K$10,MATCH(B124,'Menu Pricing'!$A$5:$A$10,0)),0)</f>
        <v>0</v>
      </c>
      <c r="F124" s="31" t="n">
        <f aca="false">IFERROR(C124*INDEX('Menu Pricing'!$M$5:$M$10,MATCH(B124,'Menu Pricing'!$A$5:$A$10,0)),0)</f>
        <v>0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B5:B1124" type="list">
      <formula1>'Menu Pricing'!$A$5:$A$10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3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25.5" hidden="false" customHeight="true" outlineLevel="0" collapsed="false">
      <c r="A1" s="2" t="s">
        <v>175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176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25" t="s">
        <v>74</v>
      </c>
      <c r="B4" s="25" t="s">
        <v>82</v>
      </c>
      <c r="C4" s="25" t="s">
        <v>83</v>
      </c>
      <c r="D4" s="25" t="s">
        <v>177</v>
      </c>
      <c r="E4" s="25" t="s">
        <v>76</v>
      </c>
      <c r="F4" s="25" t="s">
        <v>178</v>
      </c>
    </row>
    <row r="5" customFormat="false" ht="15" hidden="false" customHeight="true" outlineLevel="0" collapsed="false">
      <c r="A5" s="38" t="str">
        <f aca="false">'Ingredients Database'!A5</f>
        <v>Ingredient 1</v>
      </c>
      <c r="B5" s="32" t="n">
        <f aca="false">'Ingredients Database'!I5</f>
        <v>0</v>
      </c>
      <c r="C5" s="32" t="n">
        <f aca="false">'Ingredients Database'!J5</f>
        <v>0</v>
      </c>
      <c r="D5" s="38" t="str">
        <f aca="false">IF(B5&lt;C5,"Reorder Now","OK")</f>
        <v>OK</v>
      </c>
      <c r="E5" s="38" t="n">
        <f aca="false">'Ingredients Database'!C5</f>
        <v>0</v>
      </c>
      <c r="F5" s="31" t="n">
        <f aca="false">B5*'Ingredients Database'!F5</f>
        <v>0</v>
      </c>
    </row>
    <row r="6" customFormat="false" ht="15" hidden="false" customHeight="true" outlineLevel="0" collapsed="false">
      <c r="A6" s="38" t="str">
        <f aca="false">'Ingredients Database'!A6</f>
        <v>Ingredient 2</v>
      </c>
      <c r="B6" s="32" t="n">
        <f aca="false">'Ingredients Database'!I6</f>
        <v>0</v>
      </c>
      <c r="C6" s="32" t="n">
        <f aca="false">'Ingredients Database'!J6</f>
        <v>0</v>
      </c>
      <c r="D6" s="38" t="str">
        <f aca="false">IF(B6&lt;C6,"Reorder Now","OK")</f>
        <v>OK</v>
      </c>
      <c r="E6" s="38" t="n">
        <f aca="false">'Ingredients Database'!C6</f>
        <v>0</v>
      </c>
      <c r="F6" s="31" t="n">
        <f aca="false">B6*'Ingredients Database'!F6</f>
        <v>0</v>
      </c>
    </row>
    <row r="7" customFormat="false" ht="15" hidden="false" customHeight="true" outlineLevel="0" collapsed="false">
      <c r="A7" s="38" t="str">
        <f aca="false">'Ingredients Database'!A7</f>
        <v>Ingredient 3</v>
      </c>
      <c r="B7" s="32" t="n">
        <f aca="false">'Ingredients Database'!I7</f>
        <v>0</v>
      </c>
      <c r="C7" s="32" t="n">
        <f aca="false">'Ingredients Database'!J7</f>
        <v>0</v>
      </c>
      <c r="D7" s="38" t="str">
        <f aca="false">IF(B7&lt;C7,"Reorder Now","OK")</f>
        <v>OK</v>
      </c>
      <c r="E7" s="38" t="n">
        <f aca="false">'Ingredients Database'!C7</f>
        <v>0</v>
      </c>
      <c r="F7" s="31" t="n">
        <f aca="false">B7*'Ingredients Database'!F7</f>
        <v>0</v>
      </c>
    </row>
    <row r="8" customFormat="false" ht="15" hidden="false" customHeight="true" outlineLevel="0" collapsed="false">
      <c r="A8" s="38" t="str">
        <f aca="false">'Ingredients Database'!A8</f>
        <v>Ingredient 4</v>
      </c>
      <c r="B8" s="32" t="n">
        <f aca="false">'Ingredients Database'!I8</f>
        <v>0</v>
      </c>
      <c r="C8" s="32" t="n">
        <f aca="false">'Ingredients Database'!J8</f>
        <v>0</v>
      </c>
      <c r="D8" s="38" t="str">
        <f aca="false">IF(B8&lt;C8,"Reorder Now","OK")</f>
        <v>OK</v>
      </c>
      <c r="E8" s="38" t="n">
        <f aca="false">'Ingredients Database'!C8</f>
        <v>0</v>
      </c>
      <c r="F8" s="31" t="n">
        <f aca="false">B8*'Ingredients Database'!F8</f>
        <v>0</v>
      </c>
    </row>
    <row r="9" customFormat="false" ht="15" hidden="false" customHeight="true" outlineLevel="0" collapsed="false">
      <c r="A9" s="38" t="str">
        <f aca="false">'Ingredients Database'!A9</f>
        <v>Ingredient 5</v>
      </c>
      <c r="B9" s="32" t="n">
        <f aca="false">'Ingredients Database'!I9</f>
        <v>0</v>
      </c>
      <c r="C9" s="32" t="n">
        <f aca="false">'Ingredients Database'!J9</f>
        <v>0</v>
      </c>
      <c r="D9" s="38" t="str">
        <f aca="false">IF(B9&lt;C9,"Reorder Now","OK")</f>
        <v>OK</v>
      </c>
      <c r="E9" s="38" t="n">
        <f aca="false">'Ingredients Database'!C9</f>
        <v>0</v>
      </c>
      <c r="F9" s="31" t="n">
        <f aca="false">B9*'Ingredients Database'!F9</f>
        <v>0</v>
      </c>
    </row>
    <row r="10" customFormat="false" ht="15" hidden="false" customHeight="true" outlineLevel="0" collapsed="false">
      <c r="A10" s="38" t="str">
        <f aca="false">'Ingredients Database'!A10</f>
        <v>Ingredient 6</v>
      </c>
      <c r="B10" s="32" t="n">
        <f aca="false">'Ingredients Database'!I10</f>
        <v>0</v>
      </c>
      <c r="C10" s="32" t="n">
        <f aca="false">'Ingredients Database'!J10</f>
        <v>0</v>
      </c>
      <c r="D10" s="38" t="str">
        <f aca="false">IF(B10&lt;C10,"Reorder Now","OK")</f>
        <v>OK</v>
      </c>
      <c r="E10" s="38" t="n">
        <f aca="false">'Ingredients Database'!C10</f>
        <v>0</v>
      </c>
      <c r="F10" s="31" t="n">
        <f aca="false">B10*'Ingredients Database'!F10</f>
        <v>0</v>
      </c>
    </row>
    <row r="11" customFormat="false" ht="15" hidden="false" customHeight="true" outlineLevel="0" collapsed="false">
      <c r="A11" s="38" t="str">
        <f aca="false">'Ingredients Database'!A11</f>
        <v>Ingredient 7</v>
      </c>
      <c r="B11" s="32" t="n">
        <f aca="false">'Ingredients Database'!I11</f>
        <v>0</v>
      </c>
      <c r="C11" s="32" t="n">
        <f aca="false">'Ingredients Database'!J11</f>
        <v>0</v>
      </c>
      <c r="D11" s="38" t="str">
        <f aca="false">IF(B11&lt;C11,"Reorder Now","OK")</f>
        <v>OK</v>
      </c>
      <c r="E11" s="38" t="n">
        <f aca="false">'Ingredients Database'!C11</f>
        <v>0</v>
      </c>
      <c r="F11" s="31" t="n">
        <f aca="false">B11*'Ingredients Database'!F11</f>
        <v>0</v>
      </c>
    </row>
    <row r="12" customFormat="false" ht="15" hidden="false" customHeight="true" outlineLevel="0" collapsed="false">
      <c r="A12" s="38" t="str">
        <f aca="false">'Ingredients Database'!A12</f>
        <v>Ingredient 8</v>
      </c>
      <c r="B12" s="32" t="n">
        <f aca="false">'Ingredients Database'!I12</f>
        <v>0</v>
      </c>
      <c r="C12" s="32" t="n">
        <f aca="false">'Ingredients Database'!J12</f>
        <v>0</v>
      </c>
      <c r="D12" s="38" t="str">
        <f aca="false">IF(B12&lt;C12,"Reorder Now","OK")</f>
        <v>OK</v>
      </c>
      <c r="E12" s="38" t="n">
        <f aca="false">'Ingredients Database'!C12</f>
        <v>0</v>
      </c>
      <c r="F12" s="31" t="n">
        <f aca="false">B12*'Ingredients Database'!F12</f>
        <v>0</v>
      </c>
    </row>
    <row r="13" customFormat="false" ht="15" hidden="false" customHeight="true" outlineLevel="0" collapsed="false">
      <c r="A13" s="38" t="str">
        <f aca="false">'Ingredients Database'!A13</f>
        <v>Ingredient 9</v>
      </c>
      <c r="B13" s="32" t="n">
        <f aca="false">'Ingredients Database'!I13</f>
        <v>0</v>
      </c>
      <c r="C13" s="32" t="n">
        <f aca="false">'Ingredients Database'!J13</f>
        <v>0</v>
      </c>
      <c r="D13" s="38" t="str">
        <f aca="false">IF(B13&lt;C13,"Reorder Now","OK")</f>
        <v>OK</v>
      </c>
      <c r="E13" s="38" t="n">
        <f aca="false">'Ingredients Database'!C13</f>
        <v>0</v>
      </c>
      <c r="F13" s="31" t="n">
        <f aca="false">B13*'Ingredients Database'!F13</f>
        <v>0</v>
      </c>
    </row>
    <row r="14" customFormat="false" ht="15" hidden="false" customHeight="true" outlineLevel="0" collapsed="false">
      <c r="A14" s="38" t="str">
        <f aca="false">'Ingredients Database'!A14</f>
        <v>Ingredient 10</v>
      </c>
      <c r="B14" s="32" t="n">
        <f aca="false">'Ingredients Database'!I14</f>
        <v>0</v>
      </c>
      <c r="C14" s="32" t="n">
        <f aca="false">'Ingredients Database'!J14</f>
        <v>0</v>
      </c>
      <c r="D14" s="38" t="str">
        <f aca="false">IF(B14&lt;C14,"Reorder Now","OK")</f>
        <v>OK</v>
      </c>
      <c r="E14" s="38" t="n">
        <f aca="false">'Ingredients Database'!C14</f>
        <v>0</v>
      </c>
      <c r="F14" s="31" t="n">
        <f aca="false">B14*'Ingredients Database'!F14</f>
        <v>0</v>
      </c>
    </row>
    <row r="15" customFormat="false" ht="15" hidden="false" customHeight="true" outlineLevel="0" collapsed="false">
      <c r="A15" s="38" t="str">
        <f aca="false">'Ingredients Database'!A15</f>
        <v>Ingredient 11</v>
      </c>
      <c r="B15" s="32" t="n">
        <f aca="false">'Ingredients Database'!I15</f>
        <v>0</v>
      </c>
      <c r="C15" s="32" t="n">
        <f aca="false">'Ingredients Database'!J15</f>
        <v>0</v>
      </c>
      <c r="D15" s="38" t="str">
        <f aca="false">IF(B15&lt;C15,"Reorder Now","OK")</f>
        <v>OK</v>
      </c>
      <c r="E15" s="38" t="n">
        <f aca="false">'Ingredients Database'!C15</f>
        <v>0</v>
      </c>
      <c r="F15" s="31" t="n">
        <f aca="false">B15*'Ingredients Database'!F15</f>
        <v>0</v>
      </c>
    </row>
    <row r="16" customFormat="false" ht="15" hidden="false" customHeight="true" outlineLevel="0" collapsed="false">
      <c r="A16" s="38" t="str">
        <f aca="false">'Ingredients Database'!A16</f>
        <v>Ingredient 12</v>
      </c>
      <c r="B16" s="32" t="n">
        <f aca="false">'Ingredients Database'!I16</f>
        <v>0</v>
      </c>
      <c r="C16" s="32" t="n">
        <f aca="false">'Ingredients Database'!J16</f>
        <v>0</v>
      </c>
      <c r="D16" s="38" t="str">
        <f aca="false">IF(B16&lt;C16,"Reorder Now","OK")</f>
        <v>OK</v>
      </c>
      <c r="E16" s="38" t="n">
        <f aca="false">'Ingredients Database'!C16</f>
        <v>0</v>
      </c>
      <c r="F16" s="31" t="n">
        <f aca="false">B16*'Ingredients Database'!F16</f>
        <v>0</v>
      </c>
    </row>
  </sheetData>
  <mergeCells count="2">
    <mergeCell ref="A1:F1"/>
    <mergeCell ref="A2:F2"/>
  </mergeCells>
  <conditionalFormatting sqref="D5:D16">
    <cfRule type="cellIs" priority="2" operator="equal" aboveAverage="0" equalAverage="0" bottom="0" percent="0" rank="0" text="" dxfId="5">
      <formula>"Reorder Now"</formula>
    </cfRule>
    <cfRule type="cellIs" priority="3" operator="equal" aboveAverage="0" equalAverage="0" bottom="0" percent="0" rank="0" text="" dxfId="6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4"/>
  </cols>
  <sheetData>
    <row r="1" customFormat="false" ht="25.5" hidden="false" customHeight="true" outlineLevel="0" collapsed="false">
      <c r="A1" s="2" t="s">
        <v>179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180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25" t="s">
        <v>68</v>
      </c>
      <c r="B4" s="25" t="s">
        <v>181</v>
      </c>
      <c r="C4" s="25" t="s">
        <v>164</v>
      </c>
      <c r="D4" s="25" t="s">
        <v>182</v>
      </c>
      <c r="E4" s="25" t="s">
        <v>183</v>
      </c>
      <c r="F4" s="25" t="s">
        <v>184</v>
      </c>
      <c r="G4" s="25" t="s">
        <v>185</v>
      </c>
    </row>
    <row r="5" customFormat="false" ht="15" hidden="false" customHeight="true" outlineLevel="0" collapsed="false">
      <c r="A5" s="38" t="str">
        <f aca="false">'Menu Pricing'!A5</f>
        <v>Menu Item 1</v>
      </c>
      <c r="B5" s="38" t="n">
        <f aca="false">SUMIFS(Sales!$C$5:$C$124,Sales!$B$5:$B$124,A5)</f>
        <v>0</v>
      </c>
      <c r="C5" s="37" t="n">
        <f aca="false">'Menu Pricing'!L5</f>
        <v>0</v>
      </c>
      <c r="D5" s="39" t="n">
        <f aca="false">AVERAGE(B5:B10)</f>
        <v>0</v>
      </c>
      <c r="E5" s="37" t="n">
        <f aca="false">AVERAGE(C5:C10)</f>
        <v>0</v>
      </c>
      <c r="F5" s="38" t="str">
        <f aca="false">IF(AND(B5&gt;=D5,C5&gt;=E5),"⭐ Star",IF(AND(B5&gt;=D5,C5&lt;E5),"🐎 Plow Horse",IF(AND(B5&lt;D5,C5&gt;=E5),"🧩 Puzzle","🐶 Dog")))</f>
        <v>⭐ Star</v>
      </c>
      <c r="G5" s="38" t="str">
        <f aca="false">IF(F5="⭐ Star","Protect quality &amp; keep visible on the menu",IF(F5="🐎 Plow Horse","Popular but thin margin — raise price slightly or cut portion cost",IF(F5="🧩 Puzzle","Profitable but under-ordered — promote or reposition on menu","Low popularity &amp; low profit — consider removing or relaunching")))</f>
        <v>Protect quality &amp; keep visible on the menu</v>
      </c>
    </row>
    <row r="6" customFormat="false" ht="15" hidden="false" customHeight="true" outlineLevel="0" collapsed="false">
      <c r="A6" s="38" t="str">
        <f aca="false">'Menu Pricing'!A6</f>
        <v>Menu Item 2</v>
      </c>
      <c r="B6" s="38" t="n">
        <f aca="false">SUMIFS(Sales!$C$5:$C$124,Sales!$B$5:$B$124,A6)</f>
        <v>0</v>
      </c>
      <c r="C6" s="37" t="n">
        <f aca="false">'Menu Pricing'!L6</f>
        <v>0</v>
      </c>
      <c r="D6" s="39" t="n">
        <f aca="false">AVERAGE(B5:B10)</f>
        <v>0</v>
      </c>
      <c r="E6" s="37" t="n">
        <f aca="false">AVERAGE(C5:C10)</f>
        <v>0</v>
      </c>
      <c r="F6" s="38" t="str">
        <f aca="false">IF(AND(B6&gt;=D6,C6&gt;=E6),"⭐ Star",IF(AND(B6&gt;=D6,C6&lt;E6),"🐎 Plow Horse",IF(AND(B6&lt;D6,C6&gt;=E6),"🧩 Puzzle","🐶 Dog")))</f>
        <v>⭐ Star</v>
      </c>
      <c r="G6" s="38" t="str">
        <f aca="false">IF(F6="⭐ Star","Protect quality &amp; keep visible on the menu",IF(F6="🐎 Plow Horse","Popular but thin margin — raise price slightly or cut portion cost",IF(F6="🧩 Puzzle","Profitable but under-ordered — promote or reposition on menu","Low popularity &amp; low profit — consider removing or relaunching")))</f>
        <v>Protect quality &amp; keep visible on the menu</v>
      </c>
    </row>
    <row r="7" customFormat="false" ht="15" hidden="false" customHeight="true" outlineLevel="0" collapsed="false">
      <c r="A7" s="38" t="str">
        <f aca="false">'Menu Pricing'!A7</f>
        <v>Menu Item 3</v>
      </c>
      <c r="B7" s="38" t="n">
        <f aca="false">SUMIFS(Sales!$C$5:$C$124,Sales!$B$5:$B$124,A7)</f>
        <v>0</v>
      </c>
      <c r="C7" s="37" t="n">
        <f aca="false">'Menu Pricing'!L7</f>
        <v>0</v>
      </c>
      <c r="D7" s="39" t="n">
        <f aca="false">AVERAGE(B5:B10)</f>
        <v>0</v>
      </c>
      <c r="E7" s="37" t="n">
        <f aca="false">AVERAGE(C5:C10)</f>
        <v>0</v>
      </c>
      <c r="F7" s="38" t="str">
        <f aca="false">IF(AND(B7&gt;=D7,C7&gt;=E7),"⭐ Star",IF(AND(B7&gt;=D7,C7&lt;E7),"🐎 Plow Horse",IF(AND(B7&lt;D7,C7&gt;=E7),"🧩 Puzzle","🐶 Dog")))</f>
        <v>⭐ Star</v>
      </c>
      <c r="G7" s="38" t="str">
        <f aca="false">IF(F7="⭐ Star","Protect quality &amp; keep visible on the menu",IF(F7="🐎 Plow Horse","Popular but thin margin — raise price slightly or cut portion cost",IF(F7="🧩 Puzzle","Profitable but under-ordered — promote or reposition on menu","Low popularity &amp; low profit — consider removing or relaunching")))</f>
        <v>Protect quality &amp; keep visible on the menu</v>
      </c>
    </row>
    <row r="8" customFormat="false" ht="15" hidden="false" customHeight="true" outlineLevel="0" collapsed="false">
      <c r="A8" s="38" t="str">
        <f aca="false">'Menu Pricing'!A8</f>
        <v>Menu Item 4</v>
      </c>
      <c r="B8" s="38" t="n">
        <f aca="false">SUMIFS(Sales!$C$5:$C$124,Sales!$B$5:$B$124,A8)</f>
        <v>0</v>
      </c>
      <c r="C8" s="37" t="n">
        <f aca="false">'Menu Pricing'!L8</f>
        <v>0</v>
      </c>
      <c r="D8" s="39" t="n">
        <f aca="false">AVERAGE(B5:B10)</f>
        <v>0</v>
      </c>
      <c r="E8" s="37" t="n">
        <f aca="false">AVERAGE(C5:C10)</f>
        <v>0</v>
      </c>
      <c r="F8" s="38" t="str">
        <f aca="false">IF(AND(B8&gt;=D8,C8&gt;=E8),"⭐ Star",IF(AND(B8&gt;=D8,C8&lt;E8),"🐎 Plow Horse",IF(AND(B8&lt;D8,C8&gt;=E8),"🧩 Puzzle","🐶 Dog")))</f>
        <v>⭐ Star</v>
      </c>
      <c r="G8" s="38" t="str">
        <f aca="false">IF(F8="⭐ Star","Protect quality &amp; keep visible on the menu",IF(F8="🐎 Plow Horse","Popular but thin margin — raise price slightly or cut portion cost",IF(F8="🧩 Puzzle","Profitable but under-ordered — promote or reposition on menu","Low popularity &amp; low profit — consider removing or relaunching")))</f>
        <v>Protect quality &amp; keep visible on the menu</v>
      </c>
    </row>
    <row r="9" customFormat="false" ht="15" hidden="false" customHeight="true" outlineLevel="0" collapsed="false">
      <c r="A9" s="38" t="str">
        <f aca="false">'Menu Pricing'!A9</f>
        <v>Menu Item 5</v>
      </c>
      <c r="B9" s="38" t="n">
        <f aca="false">SUMIFS(Sales!$C$5:$C$124,Sales!$B$5:$B$124,A9)</f>
        <v>0</v>
      </c>
      <c r="C9" s="37" t="n">
        <f aca="false">'Menu Pricing'!L9</f>
        <v>0</v>
      </c>
      <c r="D9" s="39" t="n">
        <f aca="false">AVERAGE(B5:B10)</f>
        <v>0</v>
      </c>
      <c r="E9" s="37" t="n">
        <f aca="false">AVERAGE(C5:C10)</f>
        <v>0</v>
      </c>
      <c r="F9" s="38" t="str">
        <f aca="false">IF(AND(B9&gt;=D9,C9&gt;=E9),"⭐ Star",IF(AND(B9&gt;=D9,C9&lt;E9),"🐎 Plow Horse",IF(AND(B9&lt;D9,C9&gt;=E9),"🧩 Puzzle","🐶 Dog")))</f>
        <v>⭐ Star</v>
      </c>
      <c r="G9" s="38" t="str">
        <f aca="false">IF(F9="⭐ Star","Protect quality &amp; keep visible on the menu",IF(F9="🐎 Plow Horse","Popular but thin margin — raise price slightly or cut portion cost",IF(F9="🧩 Puzzle","Profitable but under-ordered — promote or reposition on menu","Low popularity &amp; low profit — consider removing or relaunching")))</f>
        <v>Protect quality &amp; keep visible on the menu</v>
      </c>
    </row>
    <row r="10" customFormat="false" ht="15" hidden="false" customHeight="true" outlineLevel="0" collapsed="false">
      <c r="A10" s="38" t="str">
        <f aca="false">'Menu Pricing'!A10</f>
        <v>Menu Item 6</v>
      </c>
      <c r="B10" s="38" t="n">
        <f aca="false">SUMIFS(Sales!$C$5:$C$124,Sales!$B$5:$B$124,A10)</f>
        <v>0</v>
      </c>
      <c r="C10" s="37" t="n">
        <f aca="false">'Menu Pricing'!L10</f>
        <v>0</v>
      </c>
      <c r="D10" s="39" t="n">
        <f aca="false">AVERAGE(B5:B10)</f>
        <v>0</v>
      </c>
      <c r="E10" s="37" t="n">
        <f aca="false">AVERAGE(C5:C10)</f>
        <v>0</v>
      </c>
      <c r="F10" s="38" t="str">
        <f aca="false">IF(AND(B10&gt;=D10,C10&gt;=E10),"⭐ Star",IF(AND(B10&gt;=D10,C10&lt;E10),"🐎 Plow Horse",IF(AND(B10&lt;D10,C10&gt;=E10),"🧩 Puzzle","🐶 Dog")))</f>
        <v>⭐ Star</v>
      </c>
      <c r="G10" s="38" t="str">
        <f aca="false">IF(F10="⭐ Star","Protect quality &amp; keep visible on the menu",IF(F10="🐎 Plow Horse","Popular but thin margin — raise price slightly or cut portion cost",IF(F10="🧩 Puzzle","Profitable but under-ordered — promote or reposition on menu","Low popularity &amp; low profit — consider removing or relaunching")))</f>
        <v>Protect quality &amp; keep visible on the menu</v>
      </c>
    </row>
  </sheetData>
  <mergeCells count="2">
    <mergeCell ref="A1:G1"/>
    <mergeCell ref="A2:G2"/>
  </mergeCells>
  <conditionalFormatting sqref="F5:F10">
    <cfRule type="cellIs" priority="2" operator="equal" aboveAverage="0" equalAverage="0" bottom="0" percent="0" rank="0" text="" dxfId="1">
      <formula>"⭐ Star"</formula>
    </cfRule>
    <cfRule type="cellIs" priority="3" operator="equal" aboveAverage="0" equalAverage="0" bottom="0" percent="0" rank="0" text="" dxfId="3">
      <formula>"🐎 Plow Horse"</formula>
    </cfRule>
    <cfRule type="cellIs" priority="4" operator="equal" aboveAverage="0" equalAverage="0" bottom="0" percent="0" rank="0" text="" dxfId="2">
      <formula>"🧩 Puzzle"</formula>
    </cfRule>
    <cfRule type="cellIs" priority="5" operator="equal" aboveAverage="0" equalAverage="0" bottom="0" percent="0" rank="0" text="" dxfId="5">
      <formula>"🐶 Dog"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3"/>
    <col collapsed="false" customWidth="true" hidden="false" outlineLevel="0" max="6" min="5" style="1" width="18"/>
  </cols>
  <sheetData>
    <row r="1" customFormat="false" ht="25.5" hidden="false" customHeight="true" outlineLevel="0" collapsed="false">
      <c r="A1" s="2" t="s">
        <v>186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187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25" t="s">
        <v>68</v>
      </c>
      <c r="B4" s="25" t="s">
        <v>188</v>
      </c>
      <c r="C4" s="25" t="s">
        <v>189</v>
      </c>
      <c r="D4" s="25" t="s">
        <v>190</v>
      </c>
      <c r="E4" s="25" t="s">
        <v>191</v>
      </c>
      <c r="F4" s="25" t="s">
        <v>192</v>
      </c>
    </row>
    <row r="5" customFormat="false" ht="15" hidden="false" customHeight="true" outlineLevel="0" collapsed="false">
      <c r="A5" s="38" t="str">
        <f aca="false">'Menu Pricing'!A5</f>
        <v>Menu Item 1</v>
      </c>
      <c r="B5" s="38" t="str">
        <f aca="false">IF('Menu Pricing'!O5&gt;'Business Profile'!$B$9,"High Food Cost",IF('Menu Pricing'!T5&lt;0,"Underpriced vs. Recommended",IF('Menu Pricing'!U5="Losing Money","Selling Below Total Cost","None")))</f>
        <v>None</v>
      </c>
      <c r="C5" s="38" t="str">
        <f aca="false">IF(B5="High Food Cost","Food cost "&amp;TEXT('Menu Pricing'!O5,"0.0%")&amp;" vs target "&amp;TEXT('Business Profile'!$B$9,"0.0%"),IF(B5="Underpriced vs. Recommended","Priced "&amp;TEXT(-'Menu Pricing'!T5,"$0.00")&amp;" below recommended price",IF(B5="Selling Below Total Cost","Selling price does not cover total cost per unit","No leak detected")))</f>
        <v>No leak detected</v>
      </c>
      <c r="D5" s="31" t="n">
        <f aca="false">MAX(0,-'Menu Pricing'!T5)</f>
        <v>-0</v>
      </c>
      <c r="E5" s="32" t="n">
        <f aca="false">IFERROR(SUMIFS(Sales!$C$5:$C$124,Sales!$B$5:$B$124,A5)/((Sales!$A$124-Sales!$A$5+1)/'Business Profile'!$B$8*'Business Profile'!$B$8) * 'Business Profile'!$B$8,0)</f>
        <v>0</v>
      </c>
      <c r="F5" s="40" t="n">
        <f aca="false">D5*E5</f>
        <v>-0</v>
      </c>
    </row>
    <row r="6" customFormat="false" ht="15" hidden="false" customHeight="true" outlineLevel="0" collapsed="false">
      <c r="A6" s="38" t="str">
        <f aca="false">'Menu Pricing'!A6</f>
        <v>Menu Item 2</v>
      </c>
      <c r="B6" s="38" t="str">
        <f aca="false">IF('Menu Pricing'!O6&gt;'Business Profile'!$B$9,"High Food Cost",IF('Menu Pricing'!T6&lt;0,"Underpriced vs. Recommended",IF('Menu Pricing'!U6="Losing Money","Selling Below Total Cost","None")))</f>
        <v>None</v>
      </c>
      <c r="C6" s="38" t="str">
        <f aca="false">IF(B6="High Food Cost","Food cost "&amp;TEXT('Menu Pricing'!O6,"0.0%")&amp;" vs target "&amp;TEXT('Business Profile'!$B$9,"0.0%"),IF(B6="Underpriced vs. Recommended","Priced "&amp;TEXT(-'Menu Pricing'!T6,"$0.00")&amp;" below recommended price",IF(B6="Selling Below Total Cost","Selling price does not cover total cost per unit","No leak detected")))</f>
        <v>No leak detected</v>
      </c>
      <c r="D6" s="31" t="n">
        <f aca="false">MAX(0,-'Menu Pricing'!T6)</f>
        <v>-0</v>
      </c>
      <c r="E6" s="32" t="n">
        <f aca="false">IFERROR(SUMIFS(Sales!$C$5:$C$124,Sales!$B$5:$B$124,A6)/((Sales!$A$124-Sales!$A$5+1)/'Business Profile'!$B$8*'Business Profile'!$B$8) * 'Business Profile'!$B$8,0)</f>
        <v>0</v>
      </c>
      <c r="F6" s="40" t="n">
        <f aca="false">D6*E6</f>
        <v>-0</v>
      </c>
    </row>
    <row r="7" customFormat="false" ht="15" hidden="false" customHeight="true" outlineLevel="0" collapsed="false">
      <c r="A7" s="38" t="str">
        <f aca="false">'Menu Pricing'!A7</f>
        <v>Menu Item 3</v>
      </c>
      <c r="B7" s="38" t="str">
        <f aca="false">IF('Menu Pricing'!O7&gt;'Business Profile'!$B$9,"High Food Cost",IF('Menu Pricing'!T7&lt;0,"Underpriced vs. Recommended",IF('Menu Pricing'!U7="Losing Money","Selling Below Total Cost","None")))</f>
        <v>None</v>
      </c>
      <c r="C7" s="38" t="str">
        <f aca="false">IF(B7="High Food Cost","Food cost "&amp;TEXT('Menu Pricing'!O7,"0.0%")&amp;" vs target "&amp;TEXT('Business Profile'!$B$9,"0.0%"),IF(B7="Underpriced vs. Recommended","Priced "&amp;TEXT(-'Menu Pricing'!T7,"$0.00")&amp;" below recommended price",IF(B7="Selling Below Total Cost","Selling price does not cover total cost per unit","No leak detected")))</f>
        <v>No leak detected</v>
      </c>
      <c r="D7" s="31" t="n">
        <f aca="false">MAX(0,-'Menu Pricing'!T7)</f>
        <v>-0</v>
      </c>
      <c r="E7" s="32" t="n">
        <f aca="false">IFERROR(SUMIFS(Sales!$C$5:$C$124,Sales!$B$5:$B$124,A7)/((Sales!$A$124-Sales!$A$5+1)/'Business Profile'!$B$8*'Business Profile'!$B$8) * 'Business Profile'!$B$8,0)</f>
        <v>0</v>
      </c>
      <c r="F7" s="40" t="n">
        <f aca="false">D7*E7</f>
        <v>-0</v>
      </c>
    </row>
    <row r="8" customFormat="false" ht="15" hidden="false" customHeight="true" outlineLevel="0" collapsed="false">
      <c r="A8" s="38" t="str">
        <f aca="false">'Menu Pricing'!A8</f>
        <v>Menu Item 4</v>
      </c>
      <c r="B8" s="38" t="str">
        <f aca="false">IF('Menu Pricing'!O8&gt;'Business Profile'!$B$9,"High Food Cost",IF('Menu Pricing'!T8&lt;0,"Underpriced vs. Recommended",IF('Menu Pricing'!U8="Losing Money","Selling Below Total Cost","None")))</f>
        <v>None</v>
      </c>
      <c r="C8" s="38" t="str">
        <f aca="false">IF(B8="High Food Cost","Food cost "&amp;TEXT('Menu Pricing'!O8,"0.0%")&amp;" vs target "&amp;TEXT('Business Profile'!$B$9,"0.0%"),IF(B8="Underpriced vs. Recommended","Priced "&amp;TEXT(-'Menu Pricing'!T8,"$0.00")&amp;" below recommended price",IF(B8="Selling Below Total Cost","Selling price does not cover total cost per unit","No leak detected")))</f>
        <v>No leak detected</v>
      </c>
      <c r="D8" s="31" t="n">
        <f aca="false">MAX(0,-'Menu Pricing'!T8)</f>
        <v>-0</v>
      </c>
      <c r="E8" s="32" t="n">
        <f aca="false">IFERROR(SUMIFS(Sales!$C$5:$C$124,Sales!$B$5:$B$124,A8)/((Sales!$A$124-Sales!$A$5+1)/'Business Profile'!$B$8*'Business Profile'!$B$8) * 'Business Profile'!$B$8,0)</f>
        <v>0</v>
      </c>
      <c r="F8" s="40" t="n">
        <f aca="false">D8*E8</f>
        <v>-0</v>
      </c>
    </row>
    <row r="9" customFormat="false" ht="15" hidden="false" customHeight="true" outlineLevel="0" collapsed="false">
      <c r="A9" s="38" t="str">
        <f aca="false">'Menu Pricing'!A9</f>
        <v>Menu Item 5</v>
      </c>
      <c r="B9" s="38" t="str">
        <f aca="false">IF('Menu Pricing'!O9&gt;'Business Profile'!$B$9,"High Food Cost",IF('Menu Pricing'!T9&lt;0,"Underpriced vs. Recommended",IF('Menu Pricing'!U9="Losing Money","Selling Below Total Cost","None")))</f>
        <v>None</v>
      </c>
      <c r="C9" s="38" t="str">
        <f aca="false">IF(B9="High Food Cost","Food cost "&amp;TEXT('Menu Pricing'!O9,"0.0%")&amp;" vs target "&amp;TEXT('Business Profile'!$B$9,"0.0%"),IF(B9="Underpriced vs. Recommended","Priced "&amp;TEXT(-'Menu Pricing'!T9,"$0.00")&amp;" below recommended price",IF(B9="Selling Below Total Cost","Selling price does not cover total cost per unit","No leak detected")))</f>
        <v>No leak detected</v>
      </c>
      <c r="D9" s="31" t="n">
        <f aca="false">MAX(0,-'Menu Pricing'!T9)</f>
        <v>-0</v>
      </c>
      <c r="E9" s="32" t="n">
        <f aca="false">IFERROR(SUMIFS(Sales!$C$5:$C$124,Sales!$B$5:$B$124,A9)/((Sales!$A$124-Sales!$A$5+1)/'Business Profile'!$B$8*'Business Profile'!$B$8) * 'Business Profile'!$B$8,0)</f>
        <v>0</v>
      </c>
      <c r="F9" s="40" t="n">
        <f aca="false">D9*E9</f>
        <v>-0</v>
      </c>
    </row>
    <row r="10" customFormat="false" ht="15" hidden="false" customHeight="true" outlineLevel="0" collapsed="false">
      <c r="A10" s="38" t="str">
        <f aca="false">'Menu Pricing'!A10</f>
        <v>Menu Item 6</v>
      </c>
      <c r="B10" s="38" t="str">
        <f aca="false">IF('Menu Pricing'!O10&gt;'Business Profile'!$B$9,"High Food Cost",IF('Menu Pricing'!T10&lt;0,"Underpriced vs. Recommended",IF('Menu Pricing'!U10="Losing Money","Selling Below Total Cost","None")))</f>
        <v>None</v>
      </c>
      <c r="C10" s="38" t="str">
        <f aca="false">IF(B10="High Food Cost","Food cost "&amp;TEXT('Menu Pricing'!O10,"0.0%")&amp;" vs target "&amp;TEXT('Business Profile'!$B$9,"0.0%"),IF(B10="Underpriced vs. Recommended","Priced "&amp;TEXT(-'Menu Pricing'!T10,"$0.00")&amp;" below recommended price",IF(B10="Selling Below Total Cost","Selling price does not cover total cost per unit","No leak detected")))</f>
        <v>No leak detected</v>
      </c>
      <c r="D10" s="31" t="n">
        <f aca="false">MAX(0,-'Menu Pricing'!T10)</f>
        <v>-0</v>
      </c>
      <c r="E10" s="32" t="n">
        <f aca="false">IFERROR(SUMIFS(Sales!$C$5:$C$124,Sales!$B$5:$B$124,A10)/((Sales!$A$124-Sales!$A$5+1)/'Business Profile'!$B$8*'Business Profile'!$B$8) * 'Business Profile'!$B$8,0)</f>
        <v>0</v>
      </c>
      <c r="F10" s="40" t="n">
        <f aca="false">D10*E10</f>
        <v>-0</v>
      </c>
    </row>
    <row r="12" customFormat="false" ht="15" hidden="false" customHeight="true" outlineLevel="0" collapsed="false">
      <c r="A12" s="5" t="s">
        <v>193</v>
      </c>
      <c r="F12" s="41" t="n">
        <f aca="false">SUM(F5:F10)</f>
        <v>0</v>
      </c>
    </row>
  </sheetData>
  <mergeCells count="2">
    <mergeCell ref="A1:F1"/>
    <mergeCell ref="A2:F2"/>
  </mergeCells>
  <conditionalFormatting sqref="F5:F10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50"/>
    <col collapsed="false" customWidth="true" hidden="false" outlineLevel="0" max="4" min="4" style="1" width="18"/>
  </cols>
  <sheetData>
    <row r="1" customFormat="false" ht="25.5" hidden="false" customHeight="true" outlineLevel="0" collapsed="false">
      <c r="A1" s="2" t="s">
        <v>194</v>
      </c>
      <c r="B1" s="2"/>
      <c r="C1" s="2"/>
      <c r="D1" s="2"/>
    </row>
    <row r="2" customFormat="false" ht="18" hidden="false" customHeight="true" outlineLevel="0" collapsed="false">
      <c r="A2" s="3" t="s">
        <v>195</v>
      </c>
      <c r="B2" s="3"/>
      <c r="C2" s="3"/>
      <c r="D2" s="3"/>
    </row>
    <row r="4" customFormat="false" ht="30" hidden="false" customHeight="true" outlineLevel="0" collapsed="false">
      <c r="A4" s="25" t="s">
        <v>196</v>
      </c>
      <c r="B4" s="25" t="s">
        <v>68</v>
      </c>
      <c r="C4" s="25" t="s">
        <v>185</v>
      </c>
      <c r="D4" s="25" t="s">
        <v>197</v>
      </c>
    </row>
    <row r="5" customFormat="false" ht="15" hidden="false" customHeight="true" outlineLevel="0" collapsed="false">
      <c r="A5" s="38" t="n">
        <f aca="false">IF('Menu Pricing'!U5="Losing Money",1,IF('Menu Pricing'!U5="Low Margin",2,IF('Menu Pricing'!U5="Needs Review",3,4)))</f>
        <v>2</v>
      </c>
      <c r="B5" s="38" t="str">
        <f aca="false">'Menu Pricing'!A5</f>
        <v>Menu Item 1</v>
      </c>
      <c r="C5" s="38" t="str">
        <f aca="false">IF('Menu Pricing'!U5="Losing Money","Raise price to at least "&amp;TEXT('Menu Pricing'!R5,"$0.00")&amp;" or cut recipe/packaging cost — currently sold below total cost",IF('Menu Pricing'!U5="Low Margin","Increase price toward "&amp;TEXT('Menu Pricing'!R5,"$0.00")&amp;" or reduce ingredient cost to hit target margin",IF('Menu Pricing'!U5="Needs Review","Review pricing — close to target but not yet there","Performing well — protect quality and keep promoting")))</f>
        <v>Increase price toward $0.00 or reduce ingredient cost to hit target margin</v>
      </c>
      <c r="D5" s="40" t="n">
        <f aca="false">MAX(0,'Menu Pricing'!R5-'Menu Pricing'!J5)*SUMIFS(Sales!$C$5:$C$124,Sales!$B$5:$B$124,B5)</f>
        <v>0</v>
      </c>
    </row>
    <row r="6" customFormat="false" ht="15" hidden="false" customHeight="true" outlineLevel="0" collapsed="false">
      <c r="A6" s="38" t="n">
        <f aca="false">IF('Menu Pricing'!U6="Losing Money",1,IF('Menu Pricing'!U6="Low Margin",2,IF('Menu Pricing'!U6="Needs Review",3,4)))</f>
        <v>2</v>
      </c>
      <c r="B6" s="38" t="str">
        <f aca="false">'Menu Pricing'!A6</f>
        <v>Menu Item 2</v>
      </c>
      <c r="C6" s="38" t="str">
        <f aca="false">IF('Menu Pricing'!U6="Losing Money","Raise price to at least "&amp;TEXT('Menu Pricing'!R6,"$0.00")&amp;" or cut recipe/packaging cost — currently sold below total cost",IF('Menu Pricing'!U6="Low Margin","Increase price toward "&amp;TEXT('Menu Pricing'!R6,"$0.00")&amp;" or reduce ingredient cost to hit target margin",IF('Menu Pricing'!U6="Needs Review","Review pricing — close to target but not yet there","Performing well — protect quality and keep promoting")))</f>
        <v>Increase price toward $0.00 or reduce ingredient cost to hit target margin</v>
      </c>
      <c r="D6" s="40" t="n">
        <f aca="false">MAX(0,'Menu Pricing'!R6-'Menu Pricing'!J6)*SUMIFS(Sales!$C$5:$C$124,Sales!$B$5:$B$124,B6)</f>
        <v>0</v>
      </c>
    </row>
    <row r="7" customFormat="false" ht="15" hidden="false" customHeight="true" outlineLevel="0" collapsed="false">
      <c r="A7" s="38" t="n">
        <f aca="false">IF('Menu Pricing'!U7="Losing Money",1,IF('Menu Pricing'!U7="Low Margin",2,IF('Menu Pricing'!U7="Needs Review",3,4)))</f>
        <v>2</v>
      </c>
      <c r="B7" s="38" t="str">
        <f aca="false">'Menu Pricing'!A7</f>
        <v>Menu Item 3</v>
      </c>
      <c r="C7" s="38" t="str">
        <f aca="false">IF('Menu Pricing'!U7="Losing Money","Raise price to at least "&amp;TEXT('Menu Pricing'!R7,"$0.00")&amp;" or cut recipe/packaging cost — currently sold below total cost",IF('Menu Pricing'!U7="Low Margin","Increase price toward "&amp;TEXT('Menu Pricing'!R7,"$0.00")&amp;" or reduce ingredient cost to hit target margin",IF('Menu Pricing'!U7="Needs Review","Review pricing — close to target but not yet there","Performing well — protect quality and keep promoting")))</f>
        <v>Increase price toward $0.00 or reduce ingredient cost to hit target margin</v>
      </c>
      <c r="D7" s="40" t="n">
        <f aca="false">MAX(0,'Menu Pricing'!R7-'Menu Pricing'!J7)*SUMIFS(Sales!$C$5:$C$124,Sales!$B$5:$B$124,B7)</f>
        <v>0</v>
      </c>
    </row>
    <row r="8" customFormat="false" ht="15" hidden="false" customHeight="true" outlineLevel="0" collapsed="false">
      <c r="A8" s="38" t="n">
        <f aca="false">IF('Menu Pricing'!U8="Losing Money",1,IF('Menu Pricing'!U8="Low Margin",2,IF('Menu Pricing'!U8="Needs Review",3,4)))</f>
        <v>2</v>
      </c>
      <c r="B8" s="38" t="str">
        <f aca="false">'Menu Pricing'!A8</f>
        <v>Menu Item 4</v>
      </c>
      <c r="C8" s="38" t="str">
        <f aca="false">IF('Menu Pricing'!U8="Losing Money","Raise price to at least "&amp;TEXT('Menu Pricing'!R8,"$0.00")&amp;" or cut recipe/packaging cost — currently sold below total cost",IF('Menu Pricing'!U8="Low Margin","Increase price toward "&amp;TEXT('Menu Pricing'!R8,"$0.00")&amp;" or reduce ingredient cost to hit target margin",IF('Menu Pricing'!U8="Needs Review","Review pricing — close to target but not yet there","Performing well — protect quality and keep promoting")))</f>
        <v>Increase price toward $0.00 or reduce ingredient cost to hit target margin</v>
      </c>
      <c r="D8" s="40" t="n">
        <f aca="false">MAX(0,'Menu Pricing'!R8-'Menu Pricing'!J8)*SUMIFS(Sales!$C$5:$C$124,Sales!$B$5:$B$124,B8)</f>
        <v>0</v>
      </c>
    </row>
    <row r="9" customFormat="false" ht="15" hidden="false" customHeight="true" outlineLevel="0" collapsed="false">
      <c r="A9" s="38" t="n">
        <f aca="false">IF('Menu Pricing'!U9="Losing Money",1,IF('Menu Pricing'!U9="Low Margin",2,IF('Menu Pricing'!U9="Needs Review",3,4)))</f>
        <v>2</v>
      </c>
      <c r="B9" s="38" t="str">
        <f aca="false">'Menu Pricing'!A9</f>
        <v>Menu Item 5</v>
      </c>
      <c r="C9" s="38" t="str">
        <f aca="false">IF('Menu Pricing'!U9="Losing Money","Raise price to at least "&amp;TEXT('Menu Pricing'!R9,"$0.00")&amp;" or cut recipe/packaging cost — currently sold below total cost",IF('Menu Pricing'!U9="Low Margin","Increase price toward "&amp;TEXT('Menu Pricing'!R9,"$0.00")&amp;" or reduce ingredient cost to hit target margin",IF('Menu Pricing'!U9="Needs Review","Review pricing — close to target but not yet there","Performing well — protect quality and keep promoting")))</f>
        <v>Increase price toward $0.00 or reduce ingredient cost to hit target margin</v>
      </c>
      <c r="D9" s="40" t="n">
        <f aca="false">MAX(0,'Menu Pricing'!R9-'Menu Pricing'!J9)*SUMIFS(Sales!$C$5:$C$124,Sales!$B$5:$B$124,B9)</f>
        <v>0</v>
      </c>
    </row>
    <row r="10" customFormat="false" ht="15" hidden="false" customHeight="true" outlineLevel="0" collapsed="false">
      <c r="A10" s="38" t="n">
        <f aca="false">IF('Menu Pricing'!U10="Losing Money",1,IF('Menu Pricing'!U10="Low Margin",2,IF('Menu Pricing'!U10="Needs Review",3,4)))</f>
        <v>2</v>
      </c>
      <c r="B10" s="38" t="str">
        <f aca="false">'Menu Pricing'!A10</f>
        <v>Menu Item 6</v>
      </c>
      <c r="C10" s="38" t="str">
        <f aca="false">IF('Menu Pricing'!U10="Losing Money","Raise price to at least "&amp;TEXT('Menu Pricing'!R10,"$0.00")&amp;" or cut recipe/packaging cost — currently sold below total cost",IF('Menu Pricing'!U10="Low Margin","Increase price toward "&amp;TEXT('Menu Pricing'!R10,"$0.00")&amp;" or reduce ingredient cost to hit target margin",IF('Menu Pricing'!U10="Needs Review","Review pricing — close to target but not yet there","Performing well — protect quality and keep promoting")))</f>
        <v>Increase price toward $0.00 or reduce ingredient cost to hit target margin</v>
      </c>
      <c r="D10" s="40" t="n">
        <f aca="false">MAX(0,'Menu Pricing'!R10-'Menu Pricing'!J10)*SUMIFS(Sales!$C$5:$C$124,Sales!$B$5:$B$124,B10)</f>
        <v>0</v>
      </c>
    </row>
  </sheetData>
  <mergeCells count="2">
    <mergeCell ref="A1:D1"/>
    <mergeCell ref="A2:D2"/>
  </mergeCells>
  <conditionalFormatting sqref="A5:A10">
    <cfRule type="cellIs" priority="2" operator="equal" aboveAverage="0" equalAverage="0" bottom="0" percent="0" rank="0" text="" dxfId="5">
      <formula>1</formula>
    </cfRule>
    <cfRule type="cellIs" priority="3" operator="equal" aboveAverage="0" equalAverage="0" bottom="0" percent="0" rank="0" text="" dxfId="4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5"/>
  </cols>
  <sheetData>
    <row r="1" customFormat="false" ht="25.5" hidden="false" customHeight="true" outlineLevel="0" collapsed="false">
      <c r="A1" s="2" t="s">
        <v>67</v>
      </c>
      <c r="B1" s="2"/>
      <c r="C1" s="2"/>
      <c r="D1" s="2"/>
      <c r="E1" s="2"/>
    </row>
    <row r="2" customFormat="false" ht="18" hidden="false" customHeight="true" outlineLevel="0" collapsed="false">
      <c r="A2" s="3" t="s">
        <v>198</v>
      </c>
      <c r="B2" s="3"/>
      <c r="C2" s="3"/>
      <c r="D2" s="3"/>
      <c r="E2" s="3"/>
    </row>
    <row r="4" customFormat="false" ht="30" hidden="false" customHeight="true" outlineLevel="0" collapsed="false">
      <c r="A4" s="25" t="s">
        <v>199</v>
      </c>
      <c r="B4" s="25" t="s">
        <v>200</v>
      </c>
      <c r="C4" s="25" t="s">
        <v>201</v>
      </c>
      <c r="D4" s="25" t="s">
        <v>202</v>
      </c>
      <c r="E4" s="25" t="s">
        <v>203</v>
      </c>
    </row>
    <row r="5" customFormat="false" ht="15" hidden="false" customHeight="true" outlineLevel="0" collapsed="false">
      <c r="A5" s="38" t="s">
        <v>204</v>
      </c>
      <c r="B5" s="42" t="n">
        <v>0.2</v>
      </c>
      <c r="C5" s="37" t="n">
        <f aca="false">AVERAGE('Menu Pricing'!$O$5:$O$10)</f>
        <v>0</v>
      </c>
      <c r="D5" s="39" t="n">
        <f aca="false">MIN(100,MAX(0,100*(2-(C5/'Business Profile'!$B$9))))</f>
        <v>100</v>
      </c>
      <c r="E5" s="39" t="n">
        <f aca="false">D5*B5</f>
        <v>20</v>
      </c>
    </row>
    <row r="6" customFormat="false" ht="15" hidden="false" customHeight="true" outlineLevel="0" collapsed="false">
      <c r="A6" s="38" t="s">
        <v>205</v>
      </c>
      <c r="B6" s="42" t="n">
        <v>0.2</v>
      </c>
      <c r="C6" s="37" t="n">
        <f aca="false">AVERAGE('Menu Pricing'!$N$5:$N$10)</f>
        <v>0</v>
      </c>
      <c r="D6" s="39" t="n">
        <f aca="false">MIN(100,MAX(0,100*(C6/'Business Profile'!$B$11)))</f>
        <v>0</v>
      </c>
      <c r="E6" s="39" t="n">
        <f aca="false">D6*B6</f>
        <v>0</v>
      </c>
    </row>
    <row r="7" customFormat="false" ht="15" hidden="false" customHeight="true" outlineLevel="0" collapsed="false">
      <c r="A7" s="38" t="s">
        <v>206</v>
      </c>
      <c r="B7" s="42" t="n">
        <v>0.1</v>
      </c>
      <c r="C7" s="37" t="n">
        <f aca="false">AVERAGE('Menu Pricing'!$L$5:$L$10)</f>
        <v>0</v>
      </c>
      <c r="D7" s="39" t="n">
        <f aca="false">MIN(100,MAX(0,100*(C7/'Business Profile'!$B$10)))</f>
        <v>0</v>
      </c>
      <c r="E7" s="39" t="n">
        <f aca="false">D7*B7</f>
        <v>0</v>
      </c>
    </row>
    <row r="8" customFormat="false" ht="15" hidden="false" customHeight="true" outlineLevel="0" collapsed="false">
      <c r="A8" s="38" t="s">
        <v>80</v>
      </c>
      <c r="B8" s="42" t="n">
        <v>0.1</v>
      </c>
      <c r="C8" s="37" t="n">
        <f aca="false">AVERAGE('Ingredients Database'!$G$5:$G$16)</f>
        <v>0</v>
      </c>
      <c r="D8" s="39" t="n">
        <f aca="false">MIN(100,MAX(0,100*(1-C8/0.15)))</f>
        <v>100</v>
      </c>
      <c r="E8" s="39" t="n">
        <f aca="false">D8*B8</f>
        <v>10</v>
      </c>
    </row>
    <row r="9" customFormat="false" ht="15" hidden="false" customHeight="true" outlineLevel="0" collapsed="false">
      <c r="A9" s="38" t="s">
        <v>207</v>
      </c>
      <c r="B9" s="42" t="n">
        <v>0.05</v>
      </c>
      <c r="C9" s="37" t="n">
        <f aca="false">IFERROR(AVERAGE('Menu Pricing'!$D$5:$D$10)/AVERAGE('Menu Pricing'!$J$5:$J$10),0)</f>
        <v>0</v>
      </c>
      <c r="D9" s="39" t="n">
        <f aca="false">MIN(100,MAX(0,100*(1-C9/0.2)))</f>
        <v>100</v>
      </c>
      <c r="E9" s="39" t="n">
        <f aca="false">D9*B9</f>
        <v>5</v>
      </c>
    </row>
    <row r="10" customFormat="false" ht="15" hidden="false" customHeight="true" outlineLevel="0" collapsed="false">
      <c r="A10" s="38" t="s">
        <v>208</v>
      </c>
      <c r="B10" s="42" t="n">
        <v>0.1</v>
      </c>
      <c r="C10" s="37" t="n">
        <f aca="false">IFERROR('Operating Expenses'!$B$20/'Business Profile'!$B$13,0)</f>
        <v>0</v>
      </c>
      <c r="D10" s="39" t="n">
        <f aca="false">MIN(100,MAX(0,100*(1-C10/0.6)))</f>
        <v>100</v>
      </c>
      <c r="E10" s="39" t="n">
        <f aca="false">D10*B10</f>
        <v>10</v>
      </c>
    </row>
    <row r="11" customFormat="false" ht="15" hidden="false" customHeight="true" outlineLevel="0" collapsed="false">
      <c r="A11" s="38" t="s">
        <v>209</v>
      </c>
      <c r="B11" s="42" t="n">
        <v>0.1</v>
      </c>
      <c r="C11" s="37" t="n">
        <f aca="false">COUNTIF('Menu Pricing'!$M$5:$M$10,"&gt;=0")/COUNTA('Menu Pricing'!$A$5:$A$10)</f>
        <v>1</v>
      </c>
      <c r="D11" s="39" t="n">
        <f aca="false">C11*100</f>
        <v>100</v>
      </c>
      <c r="E11" s="39" t="n">
        <f aca="false">D11*B11</f>
        <v>10</v>
      </c>
    </row>
    <row r="12" customFormat="false" ht="15" hidden="false" customHeight="true" outlineLevel="0" collapsed="false">
      <c r="A12" s="38" t="s">
        <v>210</v>
      </c>
      <c r="B12" s="42" t="n">
        <v>0.05</v>
      </c>
      <c r="C12" s="37" t="n">
        <f aca="false">COUNTIF('Menu Pricing'!$T$5:$T$10,"&gt;=0")/COUNTA('Menu Pricing'!$A$5:$A$10)</f>
        <v>1</v>
      </c>
      <c r="D12" s="39" t="n">
        <f aca="false">C12*100</f>
        <v>100</v>
      </c>
      <c r="E12" s="39" t="n">
        <f aca="false">D12*B12</f>
        <v>5</v>
      </c>
    </row>
    <row r="13" customFormat="false" ht="15" hidden="false" customHeight="true" outlineLevel="0" collapsed="false">
      <c r="A13" s="38" t="s">
        <v>211</v>
      </c>
      <c r="B13" s="42" t="n">
        <v>0.05</v>
      </c>
      <c r="C13" s="37" t="n">
        <f aca="false">SUMPRODUCT(('Ingredients Database'!$I$5:$I$16&gt;='Ingredients Database'!$J$5:$J$16)*1)/COUNTA('Ingredients Database'!$A$5:$A$16)</f>
        <v>1</v>
      </c>
      <c r="D13" s="39" t="n">
        <f aca="false">C13*100</f>
        <v>100</v>
      </c>
      <c r="E13" s="39" t="n">
        <f aca="false">D13*B13</f>
        <v>5</v>
      </c>
    </row>
    <row r="14" customFormat="false" ht="15" hidden="false" customHeight="true" outlineLevel="0" collapsed="false">
      <c r="A14" s="38" t="s">
        <v>212</v>
      </c>
      <c r="B14" s="42" t="n">
        <v>0.05</v>
      </c>
      <c r="C14" s="37" t="n">
        <f aca="false">(COUNTIF('Menu Pricing'!$U$5:$U$10,"Excellent")+COUNTIF('Menu Pricing'!$U$5:$U$10,"Healthy"))/COUNTA('Menu Pricing'!$A$5:$A$10)</f>
        <v>0</v>
      </c>
      <c r="D14" s="39" t="n">
        <f aca="false">C14*100</f>
        <v>0</v>
      </c>
      <c r="E14" s="39" t="n">
        <f aca="false">D14*B14</f>
        <v>0</v>
      </c>
    </row>
    <row r="16" customFormat="false" ht="15.75" hidden="false" customHeight="true" outlineLevel="0" collapsed="false">
      <c r="A16" s="43" t="s">
        <v>213</v>
      </c>
      <c r="D16" s="44" t="n">
        <f aca="false">SUM(E5:E14)</f>
        <v>65</v>
      </c>
    </row>
    <row r="17" customFormat="false" ht="15" hidden="false" customHeight="true" outlineLevel="0" collapsed="false">
      <c r="A17" s="5" t="s">
        <v>214</v>
      </c>
      <c r="D17" s="45" t="str">
        <f aca="false">IF(D16&gt;=90,"Excellent",IF(D16&gt;=75,"Healthy",IF(D16&gt;=60,"Needs Attention",IF(D16&gt;=40,"Poor","Critical"))))</f>
        <v>Needs Attention</v>
      </c>
    </row>
  </sheetData>
  <mergeCells count="2">
    <mergeCell ref="A1:E1"/>
    <mergeCell ref="A2:E2"/>
  </mergeCells>
  <conditionalFormatting sqref="D17">
    <cfRule type="cellIs" priority="2" operator="equal" aboveAverage="0" equalAverage="0" bottom="0" percent="0" rank="0" text="" dxfId="1">
      <formula>"Excellent"</formula>
    </cfRule>
    <cfRule type="cellIs" priority="3" operator="equal" aboveAverage="0" equalAverage="0" bottom="0" percent="0" rank="0" text="" dxfId="2">
      <formula>"Healthy"</formula>
    </cfRule>
    <cfRule type="cellIs" priority="4" operator="equal" aboveAverage="0" equalAverage="0" bottom="0" percent="0" rank="0" text="" dxfId="3">
      <formula>"Needs Attention"</formula>
    </cfRule>
    <cfRule type="cellIs" priority="5" operator="equal" aboveAverage="0" equalAverage="0" bottom="0" percent="0" rank="0" text="" dxfId="4">
      <formula>"Poor"</formula>
    </cfRule>
    <cfRule type="cellIs" priority="6" operator="equal" aboveAverage="0" equalAverage="0" bottom="0" percent="0" rank="0" text="" dxfId="5">
      <formula>"Critical"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2026-08-05T19:54:21Z</dcterms:created>
  <dc:creator>openpyxl</dc:creator>
  <dc:description/>
  <dc:language>en-US</dc:language>
  <cp:lastModifiedBy/>
  <dcterms:modified xsi:type="dcterms:W3CDTF">2026-08-07T07:59:15Z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